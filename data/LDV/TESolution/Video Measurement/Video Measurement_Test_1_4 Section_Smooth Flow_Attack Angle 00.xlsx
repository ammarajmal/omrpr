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업무\교량\2024년\영상계측\"/>
    </mc:Choice>
  </mc:AlternateContent>
  <xr:revisionPtr revIDLastSave="0" documentId="13_ncr:1_{C2BF4190-2A27-4AC8-B862-B872492F45C2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등류" sheetId="1" r:id="rId1"/>
    <sheet name="0°_laser" sheetId="2" r:id="rId2"/>
    <sheet name="0°_영상계측" sheetId="4" r:id="rId3"/>
    <sheet name="0°_영상계측_sub" sheetId="3" r:id="rId4"/>
    <sheet name="결과비교" sheetId="5" r:id="rId5"/>
  </sheets>
  <calcPr calcId="191029"/>
</workbook>
</file>

<file path=xl/calcChain.xml><?xml version="1.0" encoding="utf-8"?>
<calcChain xmlns="http://schemas.openxmlformats.org/spreadsheetml/2006/main">
  <c r="F59" i="4" l="1"/>
  <c r="B59" i="4"/>
  <c r="F58" i="4"/>
  <c r="B58" i="4"/>
  <c r="F57" i="4"/>
  <c r="B57" i="4"/>
  <c r="F56" i="4"/>
  <c r="B56" i="4"/>
  <c r="F55" i="4"/>
  <c r="B55" i="4"/>
  <c r="F54" i="4"/>
  <c r="B54" i="4"/>
  <c r="F53" i="4"/>
  <c r="B53" i="4"/>
  <c r="F52" i="4"/>
  <c r="B52" i="4"/>
  <c r="F51" i="4"/>
  <c r="B51" i="4"/>
  <c r="F50" i="4"/>
  <c r="B50" i="4"/>
  <c r="F49" i="4"/>
  <c r="B49" i="4"/>
  <c r="F48" i="4"/>
  <c r="B48" i="4"/>
  <c r="F47" i="4"/>
  <c r="B47" i="4"/>
  <c r="F46" i="4"/>
  <c r="B46" i="4"/>
  <c r="F45" i="4"/>
  <c r="B45" i="4"/>
  <c r="F44" i="4"/>
  <c r="B44" i="4"/>
  <c r="F43" i="4"/>
  <c r="B43" i="4"/>
  <c r="F42" i="4"/>
  <c r="B42" i="4"/>
  <c r="F41" i="4"/>
  <c r="B41" i="4"/>
  <c r="F40" i="4"/>
  <c r="B40" i="4"/>
  <c r="F39" i="4"/>
  <c r="B39" i="4"/>
  <c r="F38" i="4"/>
  <c r="B38" i="4"/>
  <c r="F37" i="4"/>
  <c r="B37" i="4"/>
  <c r="F36" i="4"/>
  <c r="B36" i="4"/>
  <c r="F35" i="4"/>
  <c r="B35" i="4"/>
  <c r="F34" i="4"/>
  <c r="B34" i="4"/>
  <c r="F33" i="4"/>
  <c r="B33" i="4"/>
  <c r="F32" i="4"/>
  <c r="B32" i="4"/>
  <c r="F31" i="4"/>
  <c r="B31" i="4"/>
  <c r="F30" i="4"/>
  <c r="B30" i="4"/>
  <c r="F29" i="4"/>
  <c r="B29" i="4"/>
  <c r="F28" i="4"/>
  <c r="B28" i="4"/>
  <c r="F27" i="4"/>
  <c r="B27" i="4"/>
  <c r="F26" i="4"/>
  <c r="B26" i="4"/>
  <c r="F25" i="4"/>
  <c r="B25" i="4"/>
  <c r="F24" i="4"/>
  <c r="B24" i="4"/>
  <c r="F23" i="4"/>
  <c r="B23" i="4"/>
  <c r="F59" i="3" l="1"/>
  <c r="B59" i="3"/>
  <c r="F58" i="3"/>
  <c r="B58" i="3"/>
  <c r="F57" i="3"/>
  <c r="B57" i="3"/>
  <c r="F56" i="3"/>
  <c r="B56" i="3"/>
  <c r="F55" i="3"/>
  <c r="B55" i="3"/>
  <c r="F54" i="3"/>
  <c r="B54" i="3"/>
  <c r="F53" i="3"/>
  <c r="B53" i="3"/>
  <c r="F52" i="3"/>
  <c r="B52" i="3"/>
  <c r="F51" i="3"/>
  <c r="B51" i="3"/>
  <c r="F50" i="3"/>
  <c r="B50" i="3"/>
  <c r="F49" i="3"/>
  <c r="B49" i="3"/>
  <c r="F48" i="3"/>
  <c r="B48" i="3"/>
  <c r="F47" i="3"/>
  <c r="B47" i="3"/>
  <c r="F46" i="3"/>
  <c r="B46" i="3"/>
  <c r="F45" i="3"/>
  <c r="B45" i="3"/>
  <c r="F44" i="3"/>
  <c r="B44" i="3"/>
  <c r="F43" i="3"/>
  <c r="B43" i="3"/>
  <c r="F42" i="3"/>
  <c r="B42" i="3"/>
  <c r="F41" i="3"/>
  <c r="B41" i="3"/>
  <c r="F40" i="3"/>
  <c r="B40" i="3"/>
  <c r="F39" i="3"/>
  <c r="B39" i="3"/>
  <c r="F38" i="3"/>
  <c r="B38" i="3"/>
  <c r="F37" i="3"/>
  <c r="B37" i="3"/>
  <c r="F36" i="3"/>
  <c r="B36" i="3"/>
  <c r="F35" i="3"/>
  <c r="B35" i="3"/>
  <c r="F34" i="3"/>
  <c r="B34" i="3"/>
  <c r="F33" i="3"/>
  <c r="B33" i="3"/>
  <c r="F32" i="3"/>
  <c r="B32" i="3"/>
  <c r="F31" i="3"/>
  <c r="B31" i="3"/>
  <c r="F30" i="3"/>
  <c r="B30" i="3"/>
  <c r="F29" i="3"/>
  <c r="B29" i="3"/>
  <c r="F28" i="3"/>
  <c r="B28" i="3"/>
  <c r="F27" i="3"/>
  <c r="B27" i="3"/>
  <c r="F26" i="3"/>
  <c r="B26" i="3"/>
  <c r="F25" i="3"/>
  <c r="B25" i="3"/>
  <c r="F24" i="3"/>
  <c r="B24" i="3"/>
  <c r="F23" i="3"/>
  <c r="B23" i="3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24" i="2"/>
  <c r="F23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24" i="2"/>
  <c r="B23" i="2"/>
  <c r="D34" i="1" l="1"/>
  <c r="D35" i="1"/>
  <c r="D36" i="1"/>
  <c r="D37" i="1"/>
  <c r="D38" i="1"/>
  <c r="D39" i="1"/>
  <c r="D40" i="1"/>
  <c r="D41" i="1"/>
  <c r="D4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G3" i="1" l="1"/>
  <c r="G4" i="1" s="1"/>
  <c r="I33" i="1" l="1"/>
  <c r="H33" i="1"/>
  <c r="I11" i="1"/>
  <c r="I15" i="1"/>
  <c r="I19" i="1"/>
  <c r="I23" i="1"/>
  <c r="I27" i="1"/>
  <c r="I31" i="1"/>
  <c r="H12" i="1"/>
  <c r="H16" i="1"/>
  <c r="H20" i="1"/>
  <c r="H24" i="1"/>
  <c r="H28" i="1"/>
  <c r="H32" i="1"/>
  <c r="I12" i="1"/>
  <c r="I16" i="1"/>
  <c r="I20" i="1"/>
  <c r="I24" i="1"/>
  <c r="I28" i="1"/>
  <c r="I32" i="1"/>
  <c r="H13" i="1"/>
  <c r="H17" i="1"/>
  <c r="H21" i="1"/>
  <c r="H25" i="1"/>
  <c r="H29" i="1"/>
  <c r="I13" i="1"/>
  <c r="I17" i="1"/>
  <c r="I21" i="1"/>
  <c r="I25" i="1"/>
  <c r="I29" i="1"/>
  <c r="H10" i="1"/>
  <c r="H14" i="1"/>
  <c r="H18" i="1"/>
  <c r="H22" i="1"/>
  <c r="H26" i="1"/>
  <c r="H30" i="1"/>
  <c r="I10" i="1"/>
  <c r="I14" i="1"/>
  <c r="I18" i="1"/>
  <c r="I22" i="1"/>
  <c r="I26" i="1"/>
  <c r="I30" i="1"/>
  <c r="H11" i="1"/>
  <c r="H15" i="1"/>
  <c r="H19" i="1"/>
  <c r="H23" i="1"/>
  <c r="H27" i="1"/>
  <c r="H31" i="1"/>
  <c r="H9" i="1"/>
  <c r="I9" i="1"/>
  <c r="H7" i="1"/>
  <c r="H5" i="1"/>
  <c r="H6" i="1"/>
  <c r="H8" i="1"/>
  <c r="H4" i="1"/>
  <c r="I3" i="1"/>
  <c r="I4" i="1"/>
  <c r="I6" i="1"/>
  <c r="I7" i="1"/>
  <c r="I8" i="1"/>
  <c r="I5" i="1"/>
  <c r="G5" i="1"/>
  <c r="H3" i="1"/>
</calcChain>
</file>

<file path=xl/sharedStrings.xml><?xml version="1.0" encoding="utf-8"?>
<sst xmlns="http://schemas.openxmlformats.org/spreadsheetml/2006/main" count="131" uniqueCount="72">
  <si>
    <t>실험rpm</t>
    <phoneticPr fontId="3" type="noConversion"/>
  </si>
  <si>
    <t>측정풍속(풍동)</t>
    <phoneticPr fontId="3" type="noConversion"/>
  </si>
  <si>
    <t>계산풍속(풍동)</t>
    <phoneticPr fontId="3" type="noConversion"/>
  </si>
  <si>
    <t>비고</t>
    <phoneticPr fontId="3" type="noConversion"/>
  </si>
  <si>
    <t>file</t>
    <phoneticPr fontId="3" type="noConversion"/>
  </si>
  <si>
    <t>D01</t>
    <phoneticPr fontId="3" type="noConversion"/>
  </si>
  <si>
    <t>D02</t>
    <phoneticPr fontId="3" type="noConversion"/>
  </si>
  <si>
    <t>D03</t>
  </si>
  <si>
    <t>D04</t>
  </si>
  <si>
    <t>D05</t>
  </si>
  <si>
    <t>기압(hPa)</t>
    <phoneticPr fontId="3" type="noConversion"/>
  </si>
  <si>
    <t>D06</t>
  </si>
  <si>
    <r>
      <t>기온(</t>
    </r>
    <r>
      <rPr>
        <sz val="10"/>
        <rFont val="새굴림"/>
        <family val="1"/>
        <charset val="129"/>
      </rPr>
      <t>˚C)</t>
    </r>
    <phoneticPr fontId="3" type="noConversion"/>
  </si>
  <si>
    <t>환산풍속</t>
    <phoneticPr fontId="3" type="noConversion"/>
  </si>
  <si>
    <t>기압2(mmHg)</t>
    <phoneticPr fontId="3" type="noConversion"/>
  </si>
  <si>
    <t>Scale</t>
    <phoneticPr fontId="3" type="noConversion"/>
  </si>
  <si>
    <t>연직 요구치(Hz)</t>
    <phoneticPr fontId="3" type="noConversion"/>
  </si>
  <si>
    <t>연직 실험치(Hz)</t>
    <phoneticPr fontId="3" type="noConversion"/>
  </si>
  <si>
    <t>비틀림 요구치(Hz)</t>
    <phoneticPr fontId="3" type="noConversion"/>
  </si>
  <si>
    <r>
      <t>공기밀도(kg</t>
    </r>
    <r>
      <rPr>
        <sz val="10"/>
        <rFont val="새굴림"/>
        <family val="1"/>
        <charset val="129"/>
      </rPr>
      <t>/m</t>
    </r>
    <r>
      <rPr>
        <vertAlign val="superscript"/>
        <sz val="10"/>
        <rFont val="새굴림"/>
        <family val="1"/>
        <charset val="129"/>
      </rPr>
      <t>3</t>
    </r>
    <r>
      <rPr>
        <sz val="10"/>
        <rFont val="새굴림"/>
        <family val="1"/>
        <charset val="129"/>
      </rPr>
      <t>)</t>
    </r>
    <r>
      <rPr>
        <sz val="11"/>
        <color theme="1"/>
        <rFont val="맑은 고딕"/>
        <family val="2"/>
        <charset val="129"/>
        <scheme val="minor"/>
      </rPr>
      <t/>
    </r>
    <phoneticPr fontId="3" type="noConversion"/>
  </si>
  <si>
    <r>
      <t>공기밀도(kg</t>
    </r>
    <r>
      <rPr>
        <sz val="10"/>
        <rFont val="MS PMincho"/>
        <family val="1"/>
        <charset val="128"/>
      </rPr>
      <t>・</t>
    </r>
    <r>
      <rPr>
        <sz val="10"/>
        <rFont val="새굴림"/>
        <family val="1"/>
        <charset val="129"/>
      </rPr>
      <t>s</t>
    </r>
    <r>
      <rPr>
        <vertAlign val="superscript"/>
        <sz val="10"/>
        <rFont val="새굴림"/>
        <family val="1"/>
        <charset val="129"/>
      </rPr>
      <t>2</t>
    </r>
    <r>
      <rPr>
        <sz val="10"/>
        <rFont val="새굴림"/>
        <family val="1"/>
        <charset val="129"/>
      </rPr>
      <t>/m</t>
    </r>
    <r>
      <rPr>
        <vertAlign val="superscript"/>
        <sz val="10"/>
        <rFont val="새굴림"/>
        <family val="1"/>
        <charset val="129"/>
      </rPr>
      <t>4</t>
    </r>
    <r>
      <rPr>
        <sz val="10"/>
        <rFont val="새굴림"/>
        <family val="1"/>
        <charset val="129"/>
      </rPr>
      <t>)</t>
    </r>
    <phoneticPr fontId="3" type="noConversion"/>
  </si>
  <si>
    <t>비틀림 실험치(Hz)</t>
    <phoneticPr fontId="3" type="noConversion"/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</si>
  <si>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</si>
  <si>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</si>
  <si>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</si>
  <si>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</si>
  <si>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</si>
  <si>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</si>
  <si>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</si>
  <si>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</si>
  <si>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</si>
  <si>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</si>
  <si>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</si>
  <si>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</si>
  <si>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</si>
  <si>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</si>
  <si>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</si>
  <si>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</si>
  <si>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</si>
  <si>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</si>
  <si>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</si>
  <si>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</si>
  <si>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</si>
  <si>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</si>
  <si>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</si>
  <si>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</si>
  <si>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</si>
  <si>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연직</t>
    <phoneticPr fontId="3" type="noConversion"/>
  </si>
  <si>
    <t>비틀림</t>
    <phoneticPr fontId="3" type="noConversion"/>
  </si>
  <si>
    <t>hoason</t>
    <phoneticPr fontId="3" type="noConversion"/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</si>
  <si>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</si>
  <si>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</si>
  <si>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</si>
  <si>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</si>
  <si>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</si>
  <si>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</si>
  <si>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</si>
  <si>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</si>
  <si>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</si>
  <si>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vertical bending</t>
    <phoneticPr fontId="10"/>
  </si>
  <si>
    <t>torsional</t>
    <phoneticPr fontId="10"/>
  </si>
  <si>
    <r>
      <rPr>
        <b/>
        <sz val="9"/>
        <rFont val="새굴림"/>
        <family val="1"/>
        <charset val="129"/>
      </rPr>
      <t>【</t>
    </r>
    <r>
      <rPr>
        <b/>
        <sz val="9"/>
        <rFont val="Arial"/>
        <family val="2"/>
      </rPr>
      <t>Test Results</t>
    </r>
    <r>
      <rPr>
        <b/>
        <sz val="9"/>
        <rFont val="새굴림"/>
        <family val="1"/>
        <charset val="129"/>
      </rPr>
      <t>】</t>
    </r>
    <rPh sb="1" eb="3">
      <t>ケイソク</t>
    </rPh>
    <rPh sb="3" eb="5">
      <t>ケッカ</t>
    </rPh>
    <phoneticPr fontId="10"/>
  </si>
  <si>
    <t>Wind Speed (Model Scale)</t>
    <phoneticPr fontId="10"/>
  </si>
  <si>
    <t>Full Scale</t>
    <phoneticPr fontId="10"/>
  </si>
  <si>
    <t>Bending Mode</t>
    <phoneticPr fontId="10"/>
  </si>
  <si>
    <t>Torsional Mode</t>
    <phoneticPr fontId="10"/>
  </si>
  <si>
    <t>Wind Speed</t>
    <phoneticPr fontId="10"/>
  </si>
  <si>
    <t>Mean</t>
    <phoneticPr fontId="10"/>
  </si>
  <si>
    <t>RMS</t>
    <phoneticPr fontId="10"/>
  </si>
  <si>
    <t>Peak</t>
    <phoneticPr fontId="10"/>
  </si>
  <si>
    <t>(m/s)</t>
    <phoneticPr fontId="10"/>
  </si>
  <si>
    <t>(cm)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</si>
</sst>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0.0000_ "/>
    <numFmt numFmtId="178" formatCode="0.00_ "/>
    <numFmt numFmtId="179" formatCode="#,##0_ "/>
  </numFmts>
  <fonts count="1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ＭＳ Ｐゴシック"/>
      <family val="2"/>
      <charset val="128"/>
    </font>
    <font>
      <sz val="10"/>
      <color indexed="8"/>
      <name val="새굴림"/>
      <family val="1"/>
      <charset val="129"/>
    </font>
    <font>
      <sz val="10"/>
      <name val="새굴림"/>
      <family val="1"/>
      <charset val="129"/>
    </font>
    <font>
      <sz val="10"/>
      <name val="MS PMincho"/>
      <family val="1"/>
      <charset val="128"/>
    </font>
    <font>
      <vertAlign val="superscript"/>
      <sz val="10"/>
      <name val="새굴림"/>
      <family val="1"/>
      <charset val="129"/>
    </font>
    <font>
      <sz val="9"/>
      <name val="Arial"/>
      <family val="2"/>
    </font>
    <font>
      <sz val="6"/>
      <name val="ＭＳ Ｐゴシック"/>
      <family val="2"/>
      <charset val="128"/>
    </font>
    <font>
      <b/>
      <sz val="9"/>
      <name val="Arial"/>
      <family val="2"/>
    </font>
    <font>
      <b/>
      <sz val="9"/>
      <name val="새굴림"/>
      <family val="1"/>
      <charset val="129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  <xf numFmtId="177" fontId="0" fillId="0" borderId="0" xfId="0" applyNumberFormat="1" applyAlignment="1">
      <alignment horizontal="center"/>
    </xf>
    <xf numFmtId="178" fontId="5" fillId="2" borderId="1" xfId="1" applyNumberFormat="1" applyFont="1" applyFill="1" applyBorder="1" applyAlignment="1">
      <alignment horizontal="center" vertical="center"/>
    </xf>
    <xf numFmtId="178" fontId="5" fillId="0" borderId="1" xfId="1" applyNumberFormat="1" applyFont="1" applyBorder="1" applyAlignment="1">
      <alignment horizontal="center" vertical="center"/>
    </xf>
    <xf numFmtId="176" fontId="6" fillId="0" borderId="0" xfId="2" applyNumberFormat="1" applyFont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177" fontId="6" fillId="0" borderId="0" xfId="0" applyNumberFormat="1" applyFont="1" applyAlignment="1">
      <alignment horizontal="center"/>
    </xf>
    <xf numFmtId="179" fontId="0" fillId="0" borderId="0" xfId="0" applyNumberFormat="1" applyAlignment="1">
      <alignment horizontal="center" vertical="center"/>
    </xf>
    <xf numFmtId="178" fontId="5" fillId="3" borderId="1" xfId="1" applyNumberFormat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7" fontId="5" fillId="3" borderId="1" xfId="1" applyNumberFormat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3" fillId="0" borderId="12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14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178" fontId="9" fillId="0" borderId="21" xfId="2" applyNumberFormat="1" applyFont="1" applyBorder="1" applyAlignment="1">
      <alignment horizontal="center" vertical="center"/>
    </xf>
    <xf numFmtId="178" fontId="9" fillId="0" borderId="12" xfId="2" applyNumberFormat="1" applyFont="1" applyBorder="1" applyAlignment="1">
      <alignment horizontal="center" vertical="center"/>
    </xf>
    <xf numFmtId="178" fontId="9" fillId="0" borderId="13" xfId="2" applyNumberFormat="1" applyFont="1" applyBorder="1" applyAlignment="1">
      <alignment horizontal="center" vertical="center"/>
    </xf>
    <xf numFmtId="178" fontId="9" fillId="0" borderId="14" xfId="2" applyNumberFormat="1" applyFont="1" applyBorder="1" applyAlignment="1">
      <alignment horizontal="center" vertical="center"/>
    </xf>
    <xf numFmtId="178" fontId="9" fillId="0" borderId="15" xfId="2" applyNumberFormat="1" applyFont="1" applyBorder="1" applyAlignment="1">
      <alignment horizontal="center" vertical="center"/>
    </xf>
    <xf numFmtId="178" fontId="9" fillId="0" borderId="0" xfId="1" applyNumberFormat="1" applyFont="1" applyAlignment="1">
      <alignment horizontal="center" vertical="center"/>
    </xf>
    <xf numFmtId="178" fontId="9" fillId="0" borderId="22" xfId="2" applyNumberFormat="1" applyFont="1" applyBorder="1" applyAlignment="1">
      <alignment horizontal="center" vertical="center"/>
    </xf>
    <xf numFmtId="178" fontId="9" fillId="0" borderId="1" xfId="2" applyNumberFormat="1" applyFont="1" applyBorder="1" applyAlignment="1">
      <alignment horizontal="center" vertical="center"/>
    </xf>
    <xf numFmtId="178" fontId="9" fillId="0" borderId="21" xfId="3" applyNumberFormat="1" applyFont="1" applyBorder="1" applyAlignment="1">
      <alignment horizontal="center" vertical="center"/>
    </xf>
    <xf numFmtId="178" fontId="9" fillId="0" borderId="21" xfId="1" applyNumberFormat="1" applyFont="1" applyBorder="1" applyAlignment="1">
      <alignment horizontal="center" vertical="center"/>
    </xf>
    <xf numFmtId="178" fontId="9" fillId="0" borderId="22" xfId="1" applyNumberFormat="1" applyFont="1" applyBorder="1" applyAlignment="1">
      <alignment horizontal="center" vertical="center"/>
    </xf>
    <xf numFmtId="178" fontId="9" fillId="0" borderId="1" xfId="1" applyNumberFormat="1" applyFont="1" applyBorder="1" applyAlignment="1">
      <alignment horizontal="center" vertical="center"/>
    </xf>
    <xf numFmtId="178" fontId="9" fillId="0" borderId="23" xfId="1" applyNumberFormat="1" applyFont="1" applyBorder="1" applyAlignment="1">
      <alignment horizontal="center" vertical="center"/>
    </xf>
    <xf numFmtId="178" fontId="9" fillId="0" borderId="24" xfId="1" applyNumberFormat="1" applyFont="1" applyBorder="1" applyAlignment="1">
      <alignment horizontal="center" vertical="center"/>
    </xf>
    <xf numFmtId="178" fontId="9" fillId="0" borderId="25" xfId="1" applyNumberFormat="1" applyFont="1" applyBorder="1" applyAlignment="1">
      <alignment horizontal="center" vertical="center"/>
    </xf>
    <xf numFmtId="178" fontId="9" fillId="0" borderId="17" xfId="1" applyNumberFormat="1" applyFont="1" applyBorder="1" applyAlignment="1">
      <alignment horizontal="center" vertical="center"/>
    </xf>
    <xf numFmtId="178" fontId="9" fillId="0" borderId="18" xfId="1" applyNumberFormat="1" applyFont="1" applyBorder="1" applyAlignment="1">
      <alignment horizontal="center" vertical="center"/>
    </xf>
    <xf numFmtId="178" fontId="9" fillId="0" borderId="19" xfId="1" applyNumberFormat="1" applyFont="1" applyBorder="1" applyAlignment="1">
      <alignment horizontal="center" vertical="center"/>
    </xf>
    <xf numFmtId="178" fontId="9" fillId="0" borderId="20" xfId="1" applyNumberFormat="1" applyFont="1" applyBorder="1" applyAlignment="1">
      <alignment horizontal="center" vertical="center"/>
    </xf>
    <xf numFmtId="0" fontId="13" fillId="0" borderId="26" xfId="1" applyFont="1" applyBorder="1" applyAlignment="1">
      <alignment horizontal="center" vertical="center" wrapText="1"/>
    </xf>
    <xf numFmtId="0" fontId="13" fillId="0" borderId="27" xfId="1" applyFont="1" applyBorder="1" applyAlignment="1">
      <alignment horizontal="center" vertical="center" wrapText="1"/>
    </xf>
    <xf numFmtId="0" fontId="13" fillId="0" borderId="28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8" fontId="5" fillId="0" borderId="1" xfId="1" applyNumberFormat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</cellXfs>
  <cellStyles count="5">
    <cellStyle name="표준" xfId="0" builtinId="0"/>
    <cellStyle name="표준 2" xfId="4" xr:uid="{00000000-0005-0000-0000-000001000000}"/>
    <cellStyle name="標準_0deg架設系" xfId="1" xr:uid="{00000000-0005-0000-0000-000002000000}"/>
    <cellStyle name="標準_0deg架設系 2" xfId="3" xr:uid="{00000000-0005-0000-0000-000003000000}"/>
    <cellStyle name="標準_0deg架設系_고군산2공구 단면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206185567010321"/>
          <c:y val="9.1872950034766393E-2"/>
          <c:w val="0.73608247422680462"/>
          <c:h val="0.7455843252821424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16546912749226575"/>
                  <c:y val="-1.881590304567634E-2"/>
                </c:manualLayout>
              </c:layout>
              <c:numFmt formatCode="#,##0.00000_);\(#,##0.00000\)" sourceLinked="0"/>
            </c:trendlineLbl>
          </c:trendline>
          <c:xVal>
            <c:numRef>
              <c:f>등류!$B$3:$B$100</c:f>
              <c:numCache>
                <c:formatCode>General</c:formatCode>
                <c:ptCount val="9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  <c:pt idx="16">
                  <c:v>105</c:v>
                </c:pt>
                <c:pt idx="17">
                  <c:v>110</c:v>
                </c:pt>
                <c:pt idx="18">
                  <c:v>120</c:v>
                </c:pt>
                <c:pt idx="19">
                  <c:v>130</c:v>
                </c:pt>
                <c:pt idx="20">
                  <c:v>140</c:v>
                </c:pt>
                <c:pt idx="21">
                  <c:v>150</c:v>
                </c:pt>
                <c:pt idx="22">
                  <c:v>160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220</c:v>
                </c:pt>
                <c:pt idx="29">
                  <c:v>230</c:v>
                </c:pt>
                <c:pt idx="30">
                  <c:v>240</c:v>
                </c:pt>
                <c:pt idx="31">
                  <c:v>250</c:v>
                </c:pt>
                <c:pt idx="32">
                  <c:v>260</c:v>
                </c:pt>
                <c:pt idx="33">
                  <c:v>270</c:v>
                </c:pt>
                <c:pt idx="34">
                  <c:v>280</c:v>
                </c:pt>
                <c:pt idx="35">
                  <c:v>290</c:v>
                </c:pt>
                <c:pt idx="36">
                  <c:v>300</c:v>
                </c:pt>
                <c:pt idx="37">
                  <c:v>310</c:v>
                </c:pt>
                <c:pt idx="38">
                  <c:v>320</c:v>
                </c:pt>
                <c:pt idx="39">
                  <c:v>350</c:v>
                </c:pt>
              </c:numCache>
            </c:numRef>
          </c:xVal>
          <c:yVal>
            <c:numRef>
              <c:f>등류!$C$3:$C$100</c:f>
              <c:numCache>
                <c:formatCode>0.000_ </c:formatCode>
                <c:ptCount val="98"/>
                <c:pt idx="0">
                  <c:v>4.7649545000000001E-2</c:v>
                </c:pt>
                <c:pt idx="1">
                  <c:v>0.13480981</c:v>
                </c:pt>
                <c:pt idx="2">
                  <c:v>0.31348007</c:v>
                </c:pt>
                <c:pt idx="3">
                  <c:v>0.47350826000000001</c:v>
                </c:pt>
                <c:pt idx="4">
                  <c:v>0.56514365</c:v>
                </c:pt>
                <c:pt idx="5">
                  <c:v>0.65706494999999998</c:v>
                </c:pt>
                <c:pt idx="6">
                  <c:v>0.74126950999999996</c:v>
                </c:pt>
                <c:pt idx="7">
                  <c:v>0.84212032000000003</c:v>
                </c:pt>
                <c:pt idx="8">
                  <c:v>0.93170777000000005</c:v>
                </c:pt>
                <c:pt idx="9">
                  <c:v>1.0176829000000001</c:v>
                </c:pt>
                <c:pt idx="10">
                  <c:v>1.1090070999999999</c:v>
                </c:pt>
                <c:pt idx="11">
                  <c:v>1.2094389999999999</c:v>
                </c:pt>
                <c:pt idx="12">
                  <c:v>1.2893250000000001</c:v>
                </c:pt>
                <c:pt idx="13">
                  <c:v>1.3932964000000001</c:v>
                </c:pt>
                <c:pt idx="14">
                  <c:v>1.4778910999999999</c:v>
                </c:pt>
                <c:pt idx="15">
                  <c:v>1.5782593</c:v>
                </c:pt>
                <c:pt idx="16">
                  <c:v>1.6669442000000001</c:v>
                </c:pt>
                <c:pt idx="17">
                  <c:v>1.7423777</c:v>
                </c:pt>
                <c:pt idx="18">
                  <c:v>1.9448288</c:v>
                </c:pt>
                <c:pt idx="19">
                  <c:v>2.1285626</c:v>
                </c:pt>
                <c:pt idx="20">
                  <c:v>2.3147448000000002</c:v>
                </c:pt>
                <c:pt idx="21">
                  <c:v>2.4853847999999998</c:v>
                </c:pt>
                <c:pt idx="22">
                  <c:v>2.6665936000000001</c:v>
                </c:pt>
                <c:pt idx="23">
                  <c:v>2.8664407999999999</c:v>
                </c:pt>
                <c:pt idx="24">
                  <c:v>3.0428994</c:v>
                </c:pt>
                <c:pt idx="25">
                  <c:v>3.2375286999999999</c:v>
                </c:pt>
                <c:pt idx="26">
                  <c:v>3.4285000999999999</c:v>
                </c:pt>
                <c:pt idx="27">
                  <c:v>3.6008637999999999</c:v>
                </c:pt>
                <c:pt idx="28">
                  <c:v>3.8056492999999998</c:v>
                </c:pt>
                <c:pt idx="29">
                  <c:v>3.9937629000000001</c:v>
                </c:pt>
                <c:pt idx="30">
                  <c:v>4.1845071000000003</c:v>
                </c:pt>
                <c:pt idx="31">
                  <c:v>4.3531667000000001</c:v>
                </c:pt>
                <c:pt idx="32">
                  <c:v>4.5419862999999996</c:v>
                </c:pt>
                <c:pt idx="33">
                  <c:v>4.7266870000000001</c:v>
                </c:pt>
                <c:pt idx="34">
                  <c:v>4.9302609000000004</c:v>
                </c:pt>
                <c:pt idx="35">
                  <c:v>5.0959688999999999</c:v>
                </c:pt>
                <c:pt idx="36">
                  <c:v>5.2809849</c:v>
                </c:pt>
                <c:pt idx="37">
                  <c:v>5.4746810999999997</c:v>
                </c:pt>
                <c:pt idx="38">
                  <c:v>5.6483144999999997</c:v>
                </c:pt>
                <c:pt idx="39">
                  <c:v>6.2143924999999998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4B-4A0A-A5B2-84285B7AB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98560"/>
        <c:axId val="208299136"/>
      </c:scatterChart>
      <c:valAx>
        <c:axId val="208298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08299136"/>
        <c:crosses val="autoZero"/>
        <c:crossBetween val="midCat"/>
      </c:valAx>
      <c:valAx>
        <c:axId val="208299136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082985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01" r="0.7500000000000101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06811650025191"/>
          <c:y val="5.6390977443609124E-2"/>
          <c:w val="0.83737963319605624"/>
          <c:h val="0.77067669172932363"/>
        </c:manualLayout>
      </c:layout>
      <c:scatterChart>
        <c:scatterStyle val="lineMarker"/>
        <c:varyColors val="0"/>
        <c:ser>
          <c:idx val="0"/>
          <c:order val="0"/>
          <c:tx>
            <c:v>Mean</c:v>
          </c:tx>
          <c:spPr>
            <a:ln w="9525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'0°_laser'!$B$23:$B$117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'0°_laser'!$C$23:$C$117</c:f>
              <c:numCache>
                <c:formatCode>0.00_ </c:formatCode>
                <c:ptCount val="95"/>
                <c:pt idx="0">
                  <c:v>-3.1795000000000003E-5</c:v>
                </c:pt>
                <c:pt idx="1">
                  <c:v>-2.0816125000000001E-4</c:v>
                </c:pt>
                <c:pt idx="2">
                  <c:v>-1.4440000000000001E-4</c:v>
                </c:pt>
                <c:pt idx="3">
                  <c:v>5.2916249999999997E-5</c:v>
                </c:pt>
                <c:pt idx="4">
                  <c:v>-4.8250000000000001E-5</c:v>
                </c:pt>
                <c:pt idx="5">
                  <c:v>2.40435E-4</c:v>
                </c:pt>
                <c:pt idx="6">
                  <c:v>1.7875875000000001E-4</c:v>
                </c:pt>
                <c:pt idx="7">
                  <c:v>-2.0832238000000002E-3</c:v>
                </c:pt>
                <c:pt idx="8">
                  <c:v>-2.3841988E-3</c:v>
                </c:pt>
                <c:pt idx="9">
                  <c:v>-3.5786899999999998E-3</c:v>
                </c:pt>
                <c:pt idx="10">
                  <c:v>-2.7928474999999999E-3</c:v>
                </c:pt>
                <c:pt idx="11">
                  <c:v>1.1973475E-3</c:v>
                </c:pt>
                <c:pt idx="12">
                  <c:v>1.5611525000000001E-3</c:v>
                </c:pt>
                <c:pt idx="13">
                  <c:v>1.4740112E-3</c:v>
                </c:pt>
                <c:pt idx="14">
                  <c:v>-7.2597575000000001E-3</c:v>
                </c:pt>
                <c:pt idx="15">
                  <c:v>-2.3307687999999998E-3</c:v>
                </c:pt>
                <c:pt idx="16">
                  <c:v>-9.8759874999999994E-4</c:v>
                </c:pt>
                <c:pt idx="17">
                  <c:v>-1.5080988000000001E-3</c:v>
                </c:pt>
                <c:pt idx="18">
                  <c:v>-4.9964624999999999E-3</c:v>
                </c:pt>
                <c:pt idx="19">
                  <c:v>-1.1227750999999999E-2</c:v>
                </c:pt>
                <c:pt idx="20">
                  <c:v>-6.877125E-4</c:v>
                </c:pt>
                <c:pt idx="21">
                  <c:v>-4.9986388E-3</c:v>
                </c:pt>
                <c:pt idx="22">
                  <c:v>-5.6418750000000002E-3</c:v>
                </c:pt>
                <c:pt idx="23">
                  <c:v>-9.3563863000000001E-3</c:v>
                </c:pt>
                <c:pt idx="24">
                  <c:v>-1.0624125E-2</c:v>
                </c:pt>
                <c:pt idx="25">
                  <c:v>-9.4322412999999997E-3</c:v>
                </c:pt>
                <c:pt idx="26">
                  <c:v>-1.1504894999999999E-2</c:v>
                </c:pt>
                <c:pt idx="27">
                  <c:v>-8.2552762999999994E-3</c:v>
                </c:pt>
                <c:pt idx="28">
                  <c:v>-7.9878512999999995E-3</c:v>
                </c:pt>
                <c:pt idx="29">
                  <c:v>-5.3459162999999997E-3</c:v>
                </c:pt>
                <c:pt idx="30">
                  <c:v>-8.9376025000000008E-3</c:v>
                </c:pt>
                <c:pt idx="31">
                  <c:v>-6.5603987999999997E-3</c:v>
                </c:pt>
                <c:pt idx="32">
                  <c:v>-7.3198600000000001E-3</c:v>
                </c:pt>
                <c:pt idx="33">
                  <c:v>-7.9295575E-3</c:v>
                </c:pt>
                <c:pt idx="34">
                  <c:v>-1.2215011E-2</c:v>
                </c:pt>
                <c:pt idx="35">
                  <c:v>-9.5333550000000003E-3</c:v>
                </c:pt>
                <c:pt idx="36">
                  <c:v>-3.7077312999999998E-3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B5-4EA2-A215-7FC983571503}"/>
            </c:ext>
          </c:extLst>
        </c:ser>
        <c:ser>
          <c:idx val="1"/>
          <c:order val="1"/>
          <c:tx>
            <c:v>RMS</c:v>
          </c:tx>
          <c:spPr>
            <a:ln w="952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'0°_laser'!$B$23:$B$117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'0°_laser'!$D$23:$D$117</c:f>
              <c:numCache>
                <c:formatCode>0.00_ </c:formatCode>
                <c:ptCount val="95"/>
                <c:pt idx="0">
                  <c:v>2.6562487000000002E-3</c:v>
                </c:pt>
                <c:pt idx="1">
                  <c:v>2.6440284999999998E-3</c:v>
                </c:pt>
                <c:pt idx="2">
                  <c:v>2.6825301999999999E-3</c:v>
                </c:pt>
                <c:pt idx="3">
                  <c:v>2.7858005999999999E-3</c:v>
                </c:pt>
                <c:pt idx="4">
                  <c:v>3.0350689E-3</c:v>
                </c:pt>
                <c:pt idx="5">
                  <c:v>3.0336248999999998E-3</c:v>
                </c:pt>
                <c:pt idx="6">
                  <c:v>4.9217743E-3</c:v>
                </c:pt>
                <c:pt idx="7">
                  <c:v>0.22134623</c:v>
                </c:pt>
                <c:pt idx="8">
                  <c:v>0.27583862999999997</c:v>
                </c:pt>
                <c:pt idx="9">
                  <c:v>0.27393756000000002</c:v>
                </c:pt>
                <c:pt idx="10">
                  <c:v>0.14766327000000001</c:v>
                </c:pt>
                <c:pt idx="11">
                  <c:v>4.9283832E-2</c:v>
                </c:pt>
                <c:pt idx="12">
                  <c:v>5.8140483999999999E-2</c:v>
                </c:pt>
                <c:pt idx="13">
                  <c:v>5.4361037000000001E-2</c:v>
                </c:pt>
                <c:pt idx="14">
                  <c:v>3.1475325999999998E-2</c:v>
                </c:pt>
                <c:pt idx="15">
                  <c:v>1.4926887999999999E-2</c:v>
                </c:pt>
                <c:pt idx="16">
                  <c:v>1.6869105999999998E-2</c:v>
                </c:pt>
                <c:pt idx="17">
                  <c:v>1.3394266E-2</c:v>
                </c:pt>
                <c:pt idx="18">
                  <c:v>1.6276401999999999E-2</c:v>
                </c:pt>
                <c:pt idx="19">
                  <c:v>3.5949279000000001E-2</c:v>
                </c:pt>
                <c:pt idx="20">
                  <c:v>5.8600896E-2</c:v>
                </c:pt>
                <c:pt idx="21">
                  <c:v>7.3862022999999999E-2</c:v>
                </c:pt>
                <c:pt idx="22">
                  <c:v>8.4236863999999995E-2</c:v>
                </c:pt>
                <c:pt idx="23">
                  <c:v>9.5784405000000003E-2</c:v>
                </c:pt>
                <c:pt idx="24">
                  <c:v>9.7508465000000002E-2</c:v>
                </c:pt>
                <c:pt idx="25">
                  <c:v>9.3896489E-2</c:v>
                </c:pt>
                <c:pt idx="26">
                  <c:v>9.5554121000000006E-2</c:v>
                </c:pt>
                <c:pt idx="27">
                  <c:v>7.1859888999999996E-2</c:v>
                </c:pt>
                <c:pt idx="28">
                  <c:v>6.2655073000000006E-2</c:v>
                </c:pt>
                <c:pt idx="29">
                  <c:v>7.5615572000000006E-2</c:v>
                </c:pt>
                <c:pt idx="30">
                  <c:v>6.7120639999999995E-2</c:v>
                </c:pt>
                <c:pt idx="31">
                  <c:v>6.7561352000000005E-2</c:v>
                </c:pt>
                <c:pt idx="32">
                  <c:v>9.0640020000000002E-2</c:v>
                </c:pt>
                <c:pt idx="33">
                  <c:v>7.8564669000000004E-2</c:v>
                </c:pt>
                <c:pt idx="34">
                  <c:v>7.8663078999999997E-2</c:v>
                </c:pt>
                <c:pt idx="35">
                  <c:v>8.4693105000000005E-2</c:v>
                </c:pt>
                <c:pt idx="36">
                  <c:v>0.25925028999999999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B5-4EA2-A215-7FC983571503}"/>
            </c:ext>
          </c:extLst>
        </c:ser>
        <c:ser>
          <c:idx val="2"/>
          <c:order val="2"/>
          <c:tx>
            <c:v>Peak</c:v>
          </c:tx>
          <c:spPr>
            <a:ln w="9525">
              <a:solidFill>
                <a:srgbClr val="0070C0"/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'0°_laser'!$B$23:$B$117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'0°_laser'!$E$23:$E$117</c:f>
              <c:numCache>
                <c:formatCode>0.00_ </c:formatCode>
                <c:ptCount val="95"/>
                <c:pt idx="0">
                  <c:v>1.4140188E-2</c:v>
                </c:pt>
                <c:pt idx="1">
                  <c:v>1.2735269E-2</c:v>
                </c:pt>
                <c:pt idx="2">
                  <c:v>1.5776508000000002E-2</c:v>
                </c:pt>
                <c:pt idx="3">
                  <c:v>1.5579190999999999E-2</c:v>
                </c:pt>
                <c:pt idx="4">
                  <c:v>1.6557858000000002E-2</c:v>
                </c:pt>
                <c:pt idx="5">
                  <c:v>1.7863957999999999E-2</c:v>
                </c:pt>
                <c:pt idx="6">
                  <c:v>2.0340349000000001E-2</c:v>
                </c:pt>
                <c:pt idx="7">
                  <c:v>0.32620382999999997</c:v>
                </c:pt>
                <c:pt idx="8">
                  <c:v>0.40417030999999998</c:v>
                </c:pt>
                <c:pt idx="9">
                  <c:v>0.40562308000000002</c:v>
                </c:pt>
                <c:pt idx="10">
                  <c:v>0.25233946000000002</c:v>
                </c:pt>
                <c:pt idx="11">
                  <c:v>9.8568544999999994E-2</c:v>
                </c:pt>
                <c:pt idx="12">
                  <c:v>0.10664224</c:v>
                </c:pt>
                <c:pt idx="13">
                  <c:v>0.10406988</c:v>
                </c:pt>
                <c:pt idx="14">
                  <c:v>8.3508650000000004E-2</c:v>
                </c:pt>
                <c:pt idx="15">
                  <c:v>5.0362876000000001E-2</c:v>
                </c:pt>
                <c:pt idx="16">
                  <c:v>6.9877205999999997E-2</c:v>
                </c:pt>
                <c:pt idx="17">
                  <c:v>4.8649206E-2</c:v>
                </c:pt>
                <c:pt idx="18">
                  <c:v>5.5256069999999997E-2</c:v>
                </c:pt>
                <c:pt idx="19">
                  <c:v>0.10409336</c:v>
                </c:pt>
                <c:pt idx="20">
                  <c:v>0.1230931</c:v>
                </c:pt>
                <c:pt idx="21">
                  <c:v>0.15955925000000001</c:v>
                </c:pt>
                <c:pt idx="22">
                  <c:v>0.19393898000000001</c:v>
                </c:pt>
                <c:pt idx="23">
                  <c:v>0.22960799000000001</c:v>
                </c:pt>
                <c:pt idx="24">
                  <c:v>0.24108172999999999</c:v>
                </c:pt>
                <c:pt idx="25">
                  <c:v>0.23526113000000001</c:v>
                </c:pt>
                <c:pt idx="26">
                  <c:v>0.278804</c:v>
                </c:pt>
                <c:pt idx="27">
                  <c:v>0.22761587999999999</c:v>
                </c:pt>
                <c:pt idx="28">
                  <c:v>0.18675574</c:v>
                </c:pt>
                <c:pt idx="29">
                  <c:v>0.23136202</c:v>
                </c:pt>
                <c:pt idx="30">
                  <c:v>0.21612298999999999</c:v>
                </c:pt>
                <c:pt idx="31">
                  <c:v>0.25965750999999998</c:v>
                </c:pt>
                <c:pt idx="32">
                  <c:v>0.28261097000000002</c:v>
                </c:pt>
                <c:pt idx="33">
                  <c:v>0.29831366999999998</c:v>
                </c:pt>
                <c:pt idx="34">
                  <c:v>0.24179512</c:v>
                </c:pt>
                <c:pt idx="35">
                  <c:v>0.29237096000000001</c:v>
                </c:pt>
                <c:pt idx="36">
                  <c:v>0.47960883999999998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B5-4EA2-A215-7FC983571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49792"/>
        <c:axId val="210050368"/>
      </c:scatterChart>
      <c:valAx>
        <c:axId val="210049792"/>
        <c:scaling>
          <c:orientation val="minMax"/>
          <c:max val="8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en-US"/>
                  <a:t>Wind velocity (m/s)</a:t>
                </a:r>
              </a:p>
            </c:rich>
          </c:tx>
          <c:layout>
            <c:manualLayout>
              <c:xMode val="edge"/>
              <c:yMode val="edge"/>
              <c:x val="0.43203934459648824"/>
              <c:y val="0.9060150375939880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10050368"/>
        <c:crossesAt val="-100"/>
        <c:crossBetween val="midCat"/>
        <c:majorUnit val="1"/>
        <c:minorUnit val="1"/>
      </c:valAx>
      <c:valAx>
        <c:axId val="210050368"/>
        <c:scaling>
          <c:orientation val="minMax"/>
          <c:max val="2"/>
          <c:min val="-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en-US"/>
                  <a:t>Displacement (cm)</a:t>
                </a:r>
              </a:p>
            </c:rich>
          </c:tx>
          <c:layout>
            <c:manualLayout>
              <c:xMode val="edge"/>
              <c:yMode val="edge"/>
              <c:x val="1.2135922330097084E-2"/>
              <c:y val="0.26691729323308394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10049792"/>
        <c:crosses val="autoZero"/>
        <c:crossBetween val="midCat"/>
        <c:majorUnit val="0.5"/>
        <c:minorUnit val="0.25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235147330721592"/>
          <c:y val="6.8922305764411024E-2"/>
          <c:w val="0.18274186884978014"/>
          <c:h val="0.219934674832312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0255" r="0.75000000000000255" t="1" header="0.51200000000000001" footer="0.512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06811650025191"/>
          <c:y val="5.6390977443609124E-2"/>
          <c:w val="0.83737963319605624"/>
          <c:h val="0.77067669172932363"/>
        </c:manualLayout>
      </c:layout>
      <c:scatterChart>
        <c:scatterStyle val="lineMarker"/>
        <c:varyColors val="0"/>
        <c:ser>
          <c:idx val="0"/>
          <c:order val="0"/>
          <c:tx>
            <c:v>Mean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'0°_laser'!$F$23:$F$117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'0°_laser'!$G$23:$G$117</c:f>
              <c:numCache>
                <c:formatCode>0.00_ </c:formatCode>
                <c:ptCount val="95"/>
                <c:pt idx="0">
                  <c:v>2.6424E-4</c:v>
                </c:pt>
                <c:pt idx="1">
                  <c:v>-1.3454499999999999E-4</c:v>
                </c:pt>
                <c:pt idx="2">
                  <c:v>-1.6867900000000001E-3</c:v>
                </c:pt>
                <c:pt idx="3">
                  <c:v>-1.700195E-3</c:v>
                </c:pt>
                <c:pt idx="4">
                  <c:v>-2.5839700000000001E-3</c:v>
                </c:pt>
                <c:pt idx="5">
                  <c:v>-3.1414300000000002E-3</c:v>
                </c:pt>
                <c:pt idx="6">
                  <c:v>-3.8620249999999998E-3</c:v>
                </c:pt>
                <c:pt idx="7">
                  <c:v>2.6913695000000001E-2</c:v>
                </c:pt>
                <c:pt idx="8">
                  <c:v>3.5436404999999997E-2</c:v>
                </c:pt>
                <c:pt idx="9">
                  <c:v>3.5010939999999997E-2</c:v>
                </c:pt>
                <c:pt idx="10">
                  <c:v>4.1970790000000001E-2</c:v>
                </c:pt>
                <c:pt idx="11">
                  <c:v>2.9474920000000002E-2</c:v>
                </c:pt>
                <c:pt idx="12">
                  <c:v>2.9497990000000002E-2</c:v>
                </c:pt>
                <c:pt idx="13">
                  <c:v>2.8112084999999998E-2</c:v>
                </c:pt>
                <c:pt idx="14">
                  <c:v>4.5459970000000002E-2</c:v>
                </c:pt>
                <c:pt idx="15">
                  <c:v>2.0465500000000001E-4</c:v>
                </c:pt>
                <c:pt idx="16">
                  <c:v>-1.8688050000000001E-3</c:v>
                </c:pt>
                <c:pt idx="17">
                  <c:v>-2.5455550000000001E-3</c:v>
                </c:pt>
                <c:pt idx="18">
                  <c:v>-2.58728E-3</c:v>
                </c:pt>
                <c:pt idx="19">
                  <c:v>5.3638384999999997E-2</c:v>
                </c:pt>
                <c:pt idx="20">
                  <c:v>3.03293E-2</c:v>
                </c:pt>
                <c:pt idx="21">
                  <c:v>3.7117625000000001E-2</c:v>
                </c:pt>
                <c:pt idx="22">
                  <c:v>3.0336470000000001E-2</c:v>
                </c:pt>
                <c:pt idx="23">
                  <c:v>3.4618274999999997E-2</c:v>
                </c:pt>
                <c:pt idx="24">
                  <c:v>3.5587460000000001E-2</c:v>
                </c:pt>
                <c:pt idx="25">
                  <c:v>2.8141454999999999E-2</c:v>
                </c:pt>
                <c:pt idx="26">
                  <c:v>3.6862649999999997E-2</c:v>
                </c:pt>
                <c:pt idx="27">
                  <c:v>4.0026355E-2</c:v>
                </c:pt>
                <c:pt idx="28">
                  <c:v>4.5443654999999999E-2</c:v>
                </c:pt>
                <c:pt idx="29">
                  <c:v>2.0896475000000001E-2</c:v>
                </c:pt>
                <c:pt idx="30">
                  <c:v>1.9675270000000002E-2</c:v>
                </c:pt>
                <c:pt idx="31">
                  <c:v>1.7530185E-2</c:v>
                </c:pt>
                <c:pt idx="32">
                  <c:v>2.105162E-2</c:v>
                </c:pt>
                <c:pt idx="33">
                  <c:v>2.1840700000000001E-2</c:v>
                </c:pt>
                <c:pt idx="34">
                  <c:v>2.7682314999999999E-2</c:v>
                </c:pt>
                <c:pt idx="35">
                  <c:v>4.1442659999999999E-2</c:v>
                </c:pt>
                <c:pt idx="36">
                  <c:v>2.1806735000000001E-2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9A-41DC-BF9A-8638B0B59E7E}"/>
            </c:ext>
          </c:extLst>
        </c:ser>
        <c:ser>
          <c:idx val="1"/>
          <c:order val="1"/>
          <c:tx>
            <c:v>RMS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'0°_laser'!$F$23:$F$117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'0°_laser'!$H$23:$H$117</c:f>
              <c:numCache>
                <c:formatCode>0.00_ </c:formatCode>
                <c:ptCount val="95"/>
                <c:pt idx="0">
                  <c:v>1.0730287999999999E-2</c:v>
                </c:pt>
                <c:pt idx="1">
                  <c:v>1.0829559000000001E-2</c:v>
                </c:pt>
                <c:pt idx="2">
                  <c:v>1.0765708000000001E-2</c:v>
                </c:pt>
                <c:pt idx="3">
                  <c:v>1.0669711E-2</c:v>
                </c:pt>
                <c:pt idx="4">
                  <c:v>1.0722337E-2</c:v>
                </c:pt>
                <c:pt idx="5">
                  <c:v>1.0585069000000001E-2</c:v>
                </c:pt>
                <c:pt idx="6">
                  <c:v>1.0962914000000001E-2</c:v>
                </c:pt>
                <c:pt idx="7">
                  <c:v>2.3124295999999999E-2</c:v>
                </c:pt>
                <c:pt idx="8">
                  <c:v>2.2421347000000001E-2</c:v>
                </c:pt>
                <c:pt idx="9">
                  <c:v>2.2111008000000001E-2</c:v>
                </c:pt>
                <c:pt idx="10">
                  <c:v>2.7155051999999999E-2</c:v>
                </c:pt>
                <c:pt idx="11">
                  <c:v>0.17845854</c:v>
                </c:pt>
                <c:pt idx="12">
                  <c:v>0.21558187000000001</c:v>
                </c:pt>
                <c:pt idx="13">
                  <c:v>0.20435607</c:v>
                </c:pt>
                <c:pt idx="14">
                  <c:v>0.11941868</c:v>
                </c:pt>
                <c:pt idx="15">
                  <c:v>1.5057241000000001E-2</c:v>
                </c:pt>
                <c:pt idx="16">
                  <c:v>1.2779209999999999E-2</c:v>
                </c:pt>
                <c:pt idx="17">
                  <c:v>1.2714084E-2</c:v>
                </c:pt>
                <c:pt idx="18">
                  <c:v>2.2457613000000001E-2</c:v>
                </c:pt>
                <c:pt idx="19">
                  <c:v>0.11278708</c:v>
                </c:pt>
                <c:pt idx="20">
                  <c:v>0.18999603000000001</c:v>
                </c:pt>
                <c:pt idx="21">
                  <c:v>0.26378153999999998</c:v>
                </c:pt>
                <c:pt idx="22">
                  <c:v>0.31739207000000003</c:v>
                </c:pt>
                <c:pt idx="23">
                  <c:v>0.36690054</c:v>
                </c:pt>
                <c:pt idx="24">
                  <c:v>0.38039991000000001</c:v>
                </c:pt>
                <c:pt idx="25">
                  <c:v>0.39060917000000001</c:v>
                </c:pt>
                <c:pt idx="26">
                  <c:v>0.37993607000000001</c:v>
                </c:pt>
                <c:pt idx="27">
                  <c:v>0.30102060000000003</c:v>
                </c:pt>
                <c:pt idx="28">
                  <c:v>0.14268281999999999</c:v>
                </c:pt>
                <c:pt idx="29">
                  <c:v>2.80708E-2</c:v>
                </c:pt>
                <c:pt idx="30">
                  <c:v>4.2926242000000003E-2</c:v>
                </c:pt>
                <c:pt idx="31">
                  <c:v>3.332363E-2</c:v>
                </c:pt>
                <c:pt idx="32">
                  <c:v>3.2626283999999998E-2</c:v>
                </c:pt>
                <c:pt idx="33">
                  <c:v>4.2894764000000002E-2</c:v>
                </c:pt>
                <c:pt idx="34">
                  <c:v>5.2259722000000002E-2</c:v>
                </c:pt>
                <c:pt idx="35">
                  <c:v>8.1375424000000002E-2</c:v>
                </c:pt>
                <c:pt idx="36">
                  <c:v>1.5969833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9A-41DC-BF9A-8638B0B59E7E}"/>
            </c:ext>
          </c:extLst>
        </c:ser>
        <c:ser>
          <c:idx val="2"/>
          <c:order val="2"/>
          <c:tx>
            <c:v>Peak</c:v>
          </c:tx>
          <c:spPr>
            <a:ln w="12700">
              <a:solidFill>
                <a:srgbClr val="0070C0"/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'0°_laser'!$F$23:$F$117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'0°_laser'!$I$23:$I$117</c:f>
              <c:numCache>
                <c:formatCode>0.00_ </c:formatCode>
                <c:ptCount val="95"/>
                <c:pt idx="0">
                  <c:v>5.1564869999999999E-2</c:v>
                </c:pt>
                <c:pt idx="1">
                  <c:v>4.7070439999999998E-2</c:v>
                </c:pt>
                <c:pt idx="2">
                  <c:v>5.6040230000000003E-2</c:v>
                </c:pt>
                <c:pt idx="3">
                  <c:v>5.428504E-2</c:v>
                </c:pt>
                <c:pt idx="4">
                  <c:v>5.3697290000000002E-2</c:v>
                </c:pt>
                <c:pt idx="5">
                  <c:v>5.5439509999999997E-2</c:v>
                </c:pt>
                <c:pt idx="6">
                  <c:v>5.8035400000000001E-2</c:v>
                </c:pt>
                <c:pt idx="7">
                  <c:v>4.6737260000000003E-2</c:v>
                </c:pt>
                <c:pt idx="8">
                  <c:v>3.330984E-2</c:v>
                </c:pt>
                <c:pt idx="9">
                  <c:v>4.3016770000000003E-2</c:v>
                </c:pt>
                <c:pt idx="10">
                  <c:v>4.8645069999999999E-2</c:v>
                </c:pt>
                <c:pt idx="11">
                  <c:v>0.24049681000000001</c:v>
                </c:pt>
                <c:pt idx="12">
                  <c:v>0.31858867000000002</c:v>
                </c:pt>
                <c:pt idx="13">
                  <c:v>0.28588247999999999</c:v>
                </c:pt>
                <c:pt idx="14">
                  <c:v>0.17661271000000001</c:v>
                </c:pt>
                <c:pt idx="15">
                  <c:v>5.9331340000000003E-2</c:v>
                </c:pt>
                <c:pt idx="16">
                  <c:v>5.9968260000000002E-2</c:v>
                </c:pt>
                <c:pt idx="17">
                  <c:v>6.4258460000000003E-2</c:v>
                </c:pt>
                <c:pt idx="18">
                  <c:v>8.9755210000000002E-2</c:v>
                </c:pt>
                <c:pt idx="19">
                  <c:v>0.19038788000000001</c:v>
                </c:pt>
                <c:pt idx="20">
                  <c:v>0.27610204999999999</c:v>
                </c:pt>
                <c:pt idx="21">
                  <c:v>0.43116739999999998</c:v>
                </c:pt>
                <c:pt idx="22">
                  <c:v>0.46600571000000002</c:v>
                </c:pt>
                <c:pt idx="23">
                  <c:v>0.54805409999999999</c:v>
                </c:pt>
                <c:pt idx="24">
                  <c:v>0.55318973000000005</c:v>
                </c:pt>
                <c:pt idx="25">
                  <c:v>0.55031574000000005</c:v>
                </c:pt>
                <c:pt idx="26">
                  <c:v>0.55598535000000004</c:v>
                </c:pt>
                <c:pt idx="27">
                  <c:v>0.47502993999999998</c:v>
                </c:pt>
                <c:pt idx="28">
                  <c:v>0.21390534</c:v>
                </c:pt>
                <c:pt idx="29">
                  <c:v>9.0793700000000005E-2</c:v>
                </c:pt>
                <c:pt idx="30">
                  <c:v>0.23525610999999999</c:v>
                </c:pt>
                <c:pt idx="31">
                  <c:v>0.14898828</c:v>
                </c:pt>
                <c:pt idx="32">
                  <c:v>0.11532341</c:v>
                </c:pt>
                <c:pt idx="33">
                  <c:v>0.24869125</c:v>
                </c:pt>
                <c:pt idx="34">
                  <c:v>0.24235402</c:v>
                </c:pt>
                <c:pt idx="35">
                  <c:v>0.24145533</c:v>
                </c:pt>
                <c:pt idx="36">
                  <c:v>2.3419612000000001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9A-41DC-BF9A-8638B0B59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947008"/>
        <c:axId val="220947584"/>
      </c:scatterChart>
      <c:valAx>
        <c:axId val="220947008"/>
        <c:scaling>
          <c:orientation val="minMax"/>
          <c:max val="8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en-US"/>
                  <a:t>Wind velocity (m/s)</a:t>
                </a:r>
              </a:p>
            </c:rich>
          </c:tx>
          <c:layout>
            <c:manualLayout>
              <c:xMode val="edge"/>
              <c:yMode val="edge"/>
              <c:x val="0.43203934459648824"/>
              <c:y val="0.9060150375939880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20947584"/>
        <c:crossesAt val="-100"/>
        <c:crossBetween val="midCat"/>
        <c:majorUnit val="1"/>
        <c:minorUnit val="1"/>
      </c:valAx>
      <c:valAx>
        <c:axId val="220947584"/>
        <c:scaling>
          <c:orientation val="minMax"/>
          <c:max val="2"/>
          <c:min val="-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ja-JP" sz="83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ko-KR" sz="830" b="0" i="0" baseline="0">
                    <a:effectLst/>
                  </a:rPr>
                  <a:t>Displacement (cm)</a:t>
                </a:r>
                <a:endParaRPr lang="ko-KR" altLang="ko-KR" sz="83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ja-JP" sz="83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 altLang="en-US" sz="830"/>
              </a:p>
            </c:rich>
          </c:tx>
          <c:layout>
            <c:manualLayout>
              <c:xMode val="edge"/>
              <c:yMode val="edge"/>
              <c:x val="1.3296593740560428E-3"/>
              <c:y val="0.26691746864975213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20947008"/>
        <c:crosses val="autoZero"/>
        <c:crossBetween val="midCat"/>
        <c:majorUnit val="0.5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235151630142616"/>
          <c:y val="8.3959899749373429E-2"/>
          <c:w val="0.1646165328965612"/>
          <c:h val="0.2232419631756556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0255" r="0.75000000000000255" t="1" header="0.51200000000000001" footer="0.512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06811650025191"/>
          <c:y val="5.6390977443609124E-2"/>
          <c:w val="0.83737963319605624"/>
          <c:h val="0.77067669172932363"/>
        </c:manualLayout>
      </c:layout>
      <c:scatterChart>
        <c:scatterStyle val="lineMarker"/>
        <c:varyColors val="0"/>
        <c:ser>
          <c:idx val="0"/>
          <c:order val="0"/>
          <c:tx>
            <c:v>Mean</c:v>
          </c:tx>
          <c:spPr>
            <a:ln w="9525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'0°_영상계측'!$B$23:$B$117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'0°_영상계측'!$C$23:$C$117</c:f>
              <c:numCache>
                <c:formatCode>0.00_ </c:formatCode>
                <c:ptCount val="95"/>
                <c:pt idx="0">
                  <c:v>3.503314E-3</c:v>
                </c:pt>
                <c:pt idx="1">
                  <c:v>3.5639408000000001E-3</c:v>
                </c:pt>
                <c:pt idx="2">
                  <c:v>2.0063772999999998E-3</c:v>
                </c:pt>
                <c:pt idx="3">
                  <c:v>3.5363754000000002E-3</c:v>
                </c:pt>
                <c:pt idx="4">
                  <c:v>5.1580126000000002E-3</c:v>
                </c:pt>
                <c:pt idx="5">
                  <c:v>1.4235196E-3</c:v>
                </c:pt>
                <c:pt idx="6">
                  <c:v>-2.9702297999999999E-3</c:v>
                </c:pt>
                <c:pt idx="7">
                  <c:v>-3.9789626999999998E-3</c:v>
                </c:pt>
                <c:pt idx="8">
                  <c:v>-6.3388767E-3</c:v>
                </c:pt>
                <c:pt idx="9">
                  <c:v>-6.4614410999999997E-3</c:v>
                </c:pt>
                <c:pt idx="10">
                  <c:v>-6.3117787000000003E-3</c:v>
                </c:pt>
                <c:pt idx="11">
                  <c:v>-5.3654699999999998E-3</c:v>
                </c:pt>
                <c:pt idx="12">
                  <c:v>-3.7757702000000001E-4</c:v>
                </c:pt>
                <c:pt idx="13">
                  <c:v>3.2019214000000001E-3</c:v>
                </c:pt>
                <c:pt idx="14">
                  <c:v>1.2581765E-2</c:v>
                </c:pt>
                <c:pt idx="15">
                  <c:v>2.9555683000000001E-3</c:v>
                </c:pt>
                <c:pt idx="16">
                  <c:v>-5.1808553000000004E-3</c:v>
                </c:pt>
                <c:pt idx="17">
                  <c:v>-4.5052178E-3</c:v>
                </c:pt>
                <c:pt idx="18">
                  <c:v>-8.1372818000000004E-4</c:v>
                </c:pt>
                <c:pt idx="19">
                  <c:v>5.4199132000000002E-3</c:v>
                </c:pt>
                <c:pt idx="20">
                  <c:v>5.7410674E-3</c:v>
                </c:pt>
                <c:pt idx="21">
                  <c:v>9.0939018999999996E-3</c:v>
                </c:pt>
                <c:pt idx="22">
                  <c:v>1.0403236E-2</c:v>
                </c:pt>
                <c:pt idx="23">
                  <c:v>1.5246272E-2</c:v>
                </c:pt>
                <c:pt idx="24">
                  <c:v>1.8212586999999999E-2</c:v>
                </c:pt>
                <c:pt idx="25">
                  <c:v>1.7075718E-2</c:v>
                </c:pt>
                <c:pt idx="26">
                  <c:v>2.0156729000000002E-2</c:v>
                </c:pt>
                <c:pt idx="27">
                  <c:v>1.7084307999999999E-2</c:v>
                </c:pt>
                <c:pt idx="28">
                  <c:v>1.6853920000000001E-2</c:v>
                </c:pt>
                <c:pt idx="29">
                  <c:v>2.4014407000000002E-2</c:v>
                </c:pt>
                <c:pt idx="30">
                  <c:v>2.3325022000000001E-2</c:v>
                </c:pt>
                <c:pt idx="31">
                  <c:v>2.1760093000000001E-2</c:v>
                </c:pt>
                <c:pt idx="32">
                  <c:v>2.4700842000000001E-2</c:v>
                </c:pt>
                <c:pt idx="33">
                  <c:v>2.5840137999999999E-2</c:v>
                </c:pt>
                <c:pt idx="34">
                  <c:v>2.7739521E-2</c:v>
                </c:pt>
                <c:pt idx="35">
                  <c:v>2.8349516000000002E-2</c:v>
                </c:pt>
                <c:pt idx="36">
                  <c:v>1.5479928E-2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5C-4699-BA70-CDC6FE000BBF}"/>
            </c:ext>
          </c:extLst>
        </c:ser>
        <c:ser>
          <c:idx val="1"/>
          <c:order val="1"/>
          <c:tx>
            <c:v>RMS</c:v>
          </c:tx>
          <c:spPr>
            <a:ln w="952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'0°_영상계측'!$B$23:$B$117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'0°_영상계측'!$D$23:$D$117</c:f>
              <c:numCache>
                <c:formatCode>0.00_ </c:formatCode>
                <c:ptCount val="95"/>
                <c:pt idx="0">
                  <c:v>9.7353379000000005E-4</c:v>
                </c:pt>
                <c:pt idx="1">
                  <c:v>1.4469818E-3</c:v>
                </c:pt>
                <c:pt idx="2">
                  <c:v>1.5727255E-3</c:v>
                </c:pt>
                <c:pt idx="3">
                  <c:v>1.6432534E-3</c:v>
                </c:pt>
                <c:pt idx="4">
                  <c:v>1.5940626E-3</c:v>
                </c:pt>
                <c:pt idx="5">
                  <c:v>3.3534584999999999E-3</c:v>
                </c:pt>
                <c:pt idx="6">
                  <c:v>7.0972172000000004E-3</c:v>
                </c:pt>
                <c:pt idx="7">
                  <c:v>0.1714058</c:v>
                </c:pt>
                <c:pt idx="8">
                  <c:v>0.25130608999999998</c:v>
                </c:pt>
                <c:pt idx="9">
                  <c:v>0.23859986999999999</c:v>
                </c:pt>
                <c:pt idx="10">
                  <c:v>0.11674432</c:v>
                </c:pt>
                <c:pt idx="11">
                  <c:v>9.1291198E-3</c:v>
                </c:pt>
                <c:pt idx="12">
                  <c:v>9.8091535000000007E-3</c:v>
                </c:pt>
                <c:pt idx="13">
                  <c:v>1.2047034E-2</c:v>
                </c:pt>
                <c:pt idx="14">
                  <c:v>1.7679210000000001E-2</c:v>
                </c:pt>
                <c:pt idx="15">
                  <c:v>1.8261072E-2</c:v>
                </c:pt>
                <c:pt idx="16">
                  <c:v>1.5076791000000001E-2</c:v>
                </c:pt>
                <c:pt idx="17">
                  <c:v>1.0496337999999999E-2</c:v>
                </c:pt>
                <c:pt idx="18">
                  <c:v>1.6725634E-2</c:v>
                </c:pt>
                <c:pt idx="19">
                  <c:v>2.1456111E-2</c:v>
                </c:pt>
                <c:pt idx="20">
                  <c:v>2.0325587999999999E-2</c:v>
                </c:pt>
                <c:pt idx="21">
                  <c:v>2.6367429000000001E-2</c:v>
                </c:pt>
                <c:pt idx="22">
                  <c:v>3.2924556000000001E-2</c:v>
                </c:pt>
                <c:pt idx="23">
                  <c:v>5.3574245999999999E-2</c:v>
                </c:pt>
                <c:pt idx="24">
                  <c:v>4.6673107999999998E-2</c:v>
                </c:pt>
                <c:pt idx="25">
                  <c:v>4.7494492999999999E-2</c:v>
                </c:pt>
                <c:pt idx="26">
                  <c:v>5.2355799000000001E-2</c:v>
                </c:pt>
                <c:pt idx="27">
                  <c:v>4.9833035999999997E-2</c:v>
                </c:pt>
                <c:pt idx="28">
                  <c:v>5.1598508000000001E-2</c:v>
                </c:pt>
                <c:pt idx="29">
                  <c:v>5.1744999E-2</c:v>
                </c:pt>
                <c:pt idx="30">
                  <c:v>7.2600797999999994E-2</c:v>
                </c:pt>
                <c:pt idx="31">
                  <c:v>6.0966489999999998E-2</c:v>
                </c:pt>
                <c:pt idx="32">
                  <c:v>7.1062149000000005E-2</c:v>
                </c:pt>
                <c:pt idx="33">
                  <c:v>6.3213386999999996E-2</c:v>
                </c:pt>
                <c:pt idx="34">
                  <c:v>0.1075367</c:v>
                </c:pt>
                <c:pt idx="35">
                  <c:v>9.4307579000000002E-2</c:v>
                </c:pt>
                <c:pt idx="36">
                  <c:v>0.13014932000000001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5C-4699-BA70-CDC6FE000BBF}"/>
            </c:ext>
          </c:extLst>
        </c:ser>
        <c:ser>
          <c:idx val="2"/>
          <c:order val="2"/>
          <c:tx>
            <c:v>Peak</c:v>
          </c:tx>
          <c:spPr>
            <a:ln w="9525">
              <a:solidFill>
                <a:srgbClr val="0070C0"/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'0°_영상계측'!$B$23:$B$117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'0°_영상계측'!$E$23:$E$117</c:f>
              <c:numCache>
                <c:formatCode>0.00_ </c:formatCode>
                <c:ptCount val="95"/>
                <c:pt idx="0">
                  <c:v>2.8080294999999998E-3</c:v>
                </c:pt>
                <c:pt idx="1">
                  <c:v>5.3845207999999997E-3</c:v>
                </c:pt>
                <c:pt idx="2">
                  <c:v>5.0903735000000002E-3</c:v>
                </c:pt>
                <c:pt idx="3">
                  <c:v>4.4270713999999996E-3</c:v>
                </c:pt>
                <c:pt idx="4">
                  <c:v>5.5266882999999998E-3</c:v>
                </c:pt>
                <c:pt idx="5">
                  <c:v>9.7368629000000005E-3</c:v>
                </c:pt>
                <c:pt idx="6">
                  <c:v>2.2290884E-2</c:v>
                </c:pt>
                <c:pt idx="7">
                  <c:v>0.25661258999999997</c:v>
                </c:pt>
                <c:pt idx="8">
                  <c:v>0.37560060000000001</c:v>
                </c:pt>
                <c:pt idx="9">
                  <c:v>0.35630405999999998</c:v>
                </c:pt>
                <c:pt idx="10">
                  <c:v>0.19341047</c:v>
                </c:pt>
                <c:pt idx="11">
                  <c:v>3.9317271000000001E-2</c:v>
                </c:pt>
                <c:pt idx="12">
                  <c:v>5.1430577999999998E-2</c:v>
                </c:pt>
                <c:pt idx="13">
                  <c:v>4.1116315000000001E-2</c:v>
                </c:pt>
                <c:pt idx="14">
                  <c:v>4.7532286999999999E-2</c:v>
                </c:pt>
                <c:pt idx="15">
                  <c:v>5.2668430000000002E-2</c:v>
                </c:pt>
                <c:pt idx="16">
                  <c:v>5.3645107999999997E-2</c:v>
                </c:pt>
                <c:pt idx="17">
                  <c:v>4.1858055999999998E-2</c:v>
                </c:pt>
                <c:pt idx="18">
                  <c:v>5.6868613999999998E-2</c:v>
                </c:pt>
                <c:pt idx="19">
                  <c:v>7.9386132999999998E-2</c:v>
                </c:pt>
                <c:pt idx="20">
                  <c:v>7.2429437999999999E-2</c:v>
                </c:pt>
                <c:pt idx="21">
                  <c:v>8.3284037000000005E-2</c:v>
                </c:pt>
                <c:pt idx="22">
                  <c:v>9.4640460999999995E-2</c:v>
                </c:pt>
                <c:pt idx="23">
                  <c:v>0.16913528</c:v>
                </c:pt>
                <c:pt idx="24">
                  <c:v>0.15734540999999999</c:v>
                </c:pt>
                <c:pt idx="25">
                  <c:v>0.13288596</c:v>
                </c:pt>
                <c:pt idx="26">
                  <c:v>0.15409638000000001</c:v>
                </c:pt>
                <c:pt idx="27">
                  <c:v>0.13979902999999999</c:v>
                </c:pt>
                <c:pt idx="28">
                  <c:v>0.14305017</c:v>
                </c:pt>
                <c:pt idx="29">
                  <c:v>0.17389916999999999</c:v>
                </c:pt>
                <c:pt idx="30">
                  <c:v>0.18123033</c:v>
                </c:pt>
                <c:pt idx="31">
                  <c:v>0.14690685000000001</c:v>
                </c:pt>
                <c:pt idx="32">
                  <c:v>0.19340193</c:v>
                </c:pt>
                <c:pt idx="33">
                  <c:v>0.1766219</c:v>
                </c:pt>
                <c:pt idx="34">
                  <c:v>0.30881450999999999</c:v>
                </c:pt>
                <c:pt idx="35">
                  <c:v>0.27828340000000001</c:v>
                </c:pt>
                <c:pt idx="36">
                  <c:v>0.30387252999999997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5C-4699-BA70-CDC6FE000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49792"/>
        <c:axId val="210050368"/>
      </c:scatterChart>
      <c:valAx>
        <c:axId val="210049792"/>
        <c:scaling>
          <c:orientation val="minMax"/>
          <c:max val="8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en-US"/>
                  <a:t>Wind velocity (m/s)</a:t>
                </a:r>
              </a:p>
            </c:rich>
          </c:tx>
          <c:layout>
            <c:manualLayout>
              <c:xMode val="edge"/>
              <c:yMode val="edge"/>
              <c:x val="0.43203934459648824"/>
              <c:y val="0.9060150375939880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10050368"/>
        <c:crossesAt val="-100"/>
        <c:crossBetween val="midCat"/>
        <c:majorUnit val="1"/>
        <c:minorUnit val="1"/>
      </c:valAx>
      <c:valAx>
        <c:axId val="210050368"/>
        <c:scaling>
          <c:orientation val="minMax"/>
          <c:max val="2"/>
          <c:min val="-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en-US"/>
                  <a:t>Displacement (cm)</a:t>
                </a:r>
              </a:p>
            </c:rich>
          </c:tx>
          <c:layout>
            <c:manualLayout>
              <c:xMode val="edge"/>
              <c:yMode val="edge"/>
              <c:x val="1.2135922330097084E-2"/>
              <c:y val="0.26691729323308394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10049792"/>
        <c:crosses val="autoZero"/>
        <c:crossBetween val="midCat"/>
        <c:majorUnit val="0.5"/>
        <c:minorUnit val="0.25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235147330721592"/>
          <c:y val="6.8922305764411024E-2"/>
          <c:w val="0.18274186884978014"/>
          <c:h val="0.219934674832312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0255" r="0.75000000000000255" t="1" header="0.51200000000000001" footer="0.512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06811650025191"/>
          <c:y val="5.6390977443609124E-2"/>
          <c:w val="0.83737963319605624"/>
          <c:h val="0.77067669172932363"/>
        </c:manualLayout>
      </c:layout>
      <c:scatterChart>
        <c:scatterStyle val="lineMarker"/>
        <c:varyColors val="0"/>
        <c:ser>
          <c:idx val="0"/>
          <c:order val="0"/>
          <c:tx>
            <c:v>Mean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'0°_영상계측'!$F$23:$F$117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'0°_영상계측'!$G$23:$G$117</c:f>
              <c:numCache>
                <c:formatCode>0.00_ </c:formatCode>
                <c:ptCount val="95"/>
                <c:pt idx="0">
                  <c:v>-9.9796250000000006E-3</c:v>
                </c:pt>
                <c:pt idx="1">
                  <c:v>-1.0414444E-2</c:v>
                </c:pt>
                <c:pt idx="2">
                  <c:v>-3.6110985999999999E-3</c:v>
                </c:pt>
                <c:pt idx="3">
                  <c:v>-7.8293049000000003E-3</c:v>
                </c:pt>
                <c:pt idx="4">
                  <c:v>4.9224289000000003E-3</c:v>
                </c:pt>
                <c:pt idx="5">
                  <c:v>1.1407924999999999E-2</c:v>
                </c:pt>
                <c:pt idx="6">
                  <c:v>3.3792389999999999E-2</c:v>
                </c:pt>
                <c:pt idx="7">
                  <c:v>2.3166472E-2</c:v>
                </c:pt>
                <c:pt idx="8">
                  <c:v>4.0050664999999999E-2</c:v>
                </c:pt>
                <c:pt idx="9">
                  <c:v>3.7013503000000003E-2</c:v>
                </c:pt>
                <c:pt idx="10">
                  <c:v>3.3361307999999999E-2</c:v>
                </c:pt>
                <c:pt idx="11">
                  <c:v>2.6143919000000002E-2</c:v>
                </c:pt>
                <c:pt idx="12">
                  <c:v>4.3247313000000003E-2</c:v>
                </c:pt>
                <c:pt idx="13">
                  <c:v>3.2476262999999998E-2</c:v>
                </c:pt>
                <c:pt idx="14">
                  <c:v>1.1255645E-2</c:v>
                </c:pt>
                <c:pt idx="15">
                  <c:v>4.2723339999999999E-2</c:v>
                </c:pt>
                <c:pt idx="16">
                  <c:v>5.7887902999999997E-2</c:v>
                </c:pt>
                <c:pt idx="17">
                  <c:v>5.2192284999999998E-2</c:v>
                </c:pt>
                <c:pt idx="18">
                  <c:v>4.4991801999999997E-2</c:v>
                </c:pt>
                <c:pt idx="19">
                  <c:v>3.9773849E-2</c:v>
                </c:pt>
                <c:pt idx="20">
                  <c:v>3.4538161999999997E-2</c:v>
                </c:pt>
                <c:pt idx="21">
                  <c:v>4.1043785999999999E-2</c:v>
                </c:pt>
                <c:pt idx="22">
                  <c:v>3.4078487999999997E-2</c:v>
                </c:pt>
                <c:pt idx="23">
                  <c:v>5.7289913999999997E-2</c:v>
                </c:pt>
                <c:pt idx="24">
                  <c:v>5.4860667000000002E-2</c:v>
                </c:pt>
                <c:pt idx="25">
                  <c:v>4.9716738000000003E-2</c:v>
                </c:pt>
                <c:pt idx="26">
                  <c:v>4.6069286000000001E-2</c:v>
                </c:pt>
                <c:pt idx="27">
                  <c:v>4.1352698E-2</c:v>
                </c:pt>
                <c:pt idx="28">
                  <c:v>4.3042838E-2</c:v>
                </c:pt>
                <c:pt idx="29">
                  <c:v>5.0417505000000001E-2</c:v>
                </c:pt>
                <c:pt idx="30">
                  <c:v>4.7191628999999999E-2</c:v>
                </c:pt>
                <c:pt idx="31">
                  <c:v>4.5350224000000001E-2</c:v>
                </c:pt>
                <c:pt idx="32">
                  <c:v>4.2852273000000003E-2</c:v>
                </c:pt>
                <c:pt idx="33">
                  <c:v>4.1747214999999997E-2</c:v>
                </c:pt>
                <c:pt idx="34">
                  <c:v>4.1625426E-2</c:v>
                </c:pt>
                <c:pt idx="35">
                  <c:v>3.7583882999999998E-2</c:v>
                </c:pt>
                <c:pt idx="36">
                  <c:v>0.15262877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06-408E-98BE-BCAF558AA4FD}"/>
            </c:ext>
          </c:extLst>
        </c:ser>
        <c:ser>
          <c:idx val="1"/>
          <c:order val="1"/>
          <c:tx>
            <c:v>RMS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'0°_영상계측'!$F$23:$F$117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'0°_영상계측'!$H$23:$H$117</c:f>
              <c:numCache>
                <c:formatCode>0.00_ </c:formatCode>
                <c:ptCount val="95"/>
                <c:pt idx="0">
                  <c:v>1.9023435999999999E-3</c:v>
                </c:pt>
                <c:pt idx="1">
                  <c:v>2.5673032E-3</c:v>
                </c:pt>
                <c:pt idx="2">
                  <c:v>2.7012258000000001E-3</c:v>
                </c:pt>
                <c:pt idx="3">
                  <c:v>2.7917312000000001E-3</c:v>
                </c:pt>
                <c:pt idx="4">
                  <c:v>2.2054445000000002E-3</c:v>
                </c:pt>
                <c:pt idx="5">
                  <c:v>2.8663235999999998E-3</c:v>
                </c:pt>
                <c:pt idx="6">
                  <c:v>4.0244197999999998E-3</c:v>
                </c:pt>
                <c:pt idx="7">
                  <c:v>1.5241456E-2</c:v>
                </c:pt>
                <c:pt idx="8">
                  <c:v>1.4474986E-2</c:v>
                </c:pt>
                <c:pt idx="9">
                  <c:v>1.1906673E-2</c:v>
                </c:pt>
                <c:pt idx="10">
                  <c:v>1.6967098999999999E-2</c:v>
                </c:pt>
                <c:pt idx="11">
                  <c:v>0.18604225999999999</c:v>
                </c:pt>
                <c:pt idx="12">
                  <c:v>0.21565400000000001</c:v>
                </c:pt>
                <c:pt idx="13">
                  <c:v>0.18363723000000001</c:v>
                </c:pt>
                <c:pt idx="14">
                  <c:v>8.4309050999999996E-2</c:v>
                </c:pt>
                <c:pt idx="15">
                  <c:v>1.0499578000000001E-2</c:v>
                </c:pt>
                <c:pt idx="16">
                  <c:v>9.1675491999999997E-3</c:v>
                </c:pt>
                <c:pt idx="17">
                  <c:v>1.0882966000000001E-2</c:v>
                </c:pt>
                <c:pt idx="18">
                  <c:v>2.0994087000000002E-2</c:v>
                </c:pt>
                <c:pt idx="19">
                  <c:v>0.11031813</c:v>
                </c:pt>
                <c:pt idx="20">
                  <c:v>0.19369696</c:v>
                </c:pt>
                <c:pt idx="21">
                  <c:v>0.27561403000000001</c:v>
                </c:pt>
                <c:pt idx="22">
                  <c:v>0.32565922000000003</c:v>
                </c:pt>
                <c:pt idx="23">
                  <c:v>0.36530096000000001</c:v>
                </c:pt>
                <c:pt idx="24">
                  <c:v>0.38605592999999999</c:v>
                </c:pt>
                <c:pt idx="25">
                  <c:v>0.39929712000000001</c:v>
                </c:pt>
                <c:pt idx="26">
                  <c:v>0.38508576999999999</c:v>
                </c:pt>
                <c:pt idx="27">
                  <c:v>0.26745254000000002</c:v>
                </c:pt>
                <c:pt idx="28">
                  <c:v>0.12383767</c:v>
                </c:pt>
                <c:pt idx="29">
                  <c:v>3.3204270000000001E-2</c:v>
                </c:pt>
                <c:pt idx="30">
                  <c:v>2.9497018999999999E-2</c:v>
                </c:pt>
                <c:pt idx="31">
                  <c:v>3.5971905999999998E-2</c:v>
                </c:pt>
                <c:pt idx="32">
                  <c:v>2.7810944000000001E-2</c:v>
                </c:pt>
                <c:pt idx="33">
                  <c:v>3.8933448000000002E-2</c:v>
                </c:pt>
                <c:pt idx="34">
                  <c:v>5.1420489999999999E-2</c:v>
                </c:pt>
                <c:pt idx="35">
                  <c:v>5.0628702999999997E-2</c:v>
                </c:pt>
                <c:pt idx="36">
                  <c:v>1.2075731999999999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06-408E-98BE-BCAF558AA4FD}"/>
            </c:ext>
          </c:extLst>
        </c:ser>
        <c:ser>
          <c:idx val="2"/>
          <c:order val="2"/>
          <c:tx>
            <c:v>Peak</c:v>
          </c:tx>
          <c:spPr>
            <a:ln w="12700">
              <a:solidFill>
                <a:srgbClr val="0070C0"/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'0°_영상계측'!$F$23:$F$117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'0°_영상계측'!$I$23:$I$117</c:f>
              <c:numCache>
                <c:formatCode>0.00_ </c:formatCode>
                <c:ptCount val="95"/>
                <c:pt idx="0">
                  <c:v>3.5670718999999997E-2</c:v>
                </c:pt>
                <c:pt idx="1">
                  <c:v>4.0237040000000002E-2</c:v>
                </c:pt>
                <c:pt idx="2">
                  <c:v>1.9915904000000002E-2</c:v>
                </c:pt>
                <c:pt idx="3">
                  <c:v>3.1358105999999997E-2</c:v>
                </c:pt>
                <c:pt idx="4">
                  <c:v>3.1657083999999999E-3</c:v>
                </c:pt>
                <c:pt idx="5">
                  <c:v>5.2497679999999997E-4</c:v>
                </c:pt>
                <c:pt idx="6">
                  <c:v>-1.9529029999999999E-2</c:v>
                </c:pt>
                <c:pt idx="7">
                  <c:v>2.6477180999999999E-2</c:v>
                </c:pt>
                <c:pt idx="8">
                  <c:v>2.4646819E-2</c:v>
                </c:pt>
                <c:pt idx="9">
                  <c:v>5.8193584000000003E-3</c:v>
                </c:pt>
                <c:pt idx="10">
                  <c:v>1.5376725000000001E-2</c:v>
                </c:pt>
                <c:pt idx="11">
                  <c:v>0.24760784</c:v>
                </c:pt>
                <c:pt idx="12">
                  <c:v>0.27148805999999998</c:v>
                </c:pt>
                <c:pt idx="13">
                  <c:v>0.24705225</c:v>
                </c:pt>
                <c:pt idx="14">
                  <c:v>0.15400899000000001</c:v>
                </c:pt>
                <c:pt idx="15">
                  <c:v>-1.1191107E-2</c:v>
                </c:pt>
                <c:pt idx="16">
                  <c:v>-2.7188548E-2</c:v>
                </c:pt>
                <c:pt idx="17">
                  <c:v>-1.6877379000000001E-2</c:v>
                </c:pt>
                <c:pt idx="18">
                  <c:v>1.484029E-3</c:v>
                </c:pt>
                <c:pt idx="19">
                  <c:v>0.15638346</c:v>
                </c:pt>
                <c:pt idx="20">
                  <c:v>0.25817052000000001</c:v>
                </c:pt>
                <c:pt idx="21">
                  <c:v>0.40544076000000001</c:v>
                </c:pt>
                <c:pt idx="22">
                  <c:v>0.45829259</c:v>
                </c:pt>
                <c:pt idx="23">
                  <c:v>0.50323309000000005</c:v>
                </c:pt>
                <c:pt idx="24">
                  <c:v>0.52106476000000002</c:v>
                </c:pt>
                <c:pt idx="25">
                  <c:v>0.56544329000000004</c:v>
                </c:pt>
                <c:pt idx="26">
                  <c:v>0.55148235999999995</c:v>
                </c:pt>
                <c:pt idx="27">
                  <c:v>0.42795164000000002</c:v>
                </c:pt>
                <c:pt idx="28">
                  <c:v>0.15586795000000001</c:v>
                </c:pt>
                <c:pt idx="29">
                  <c:v>4.6651999999999999E-2</c:v>
                </c:pt>
                <c:pt idx="30">
                  <c:v>4.7953128999999997E-2</c:v>
                </c:pt>
                <c:pt idx="31">
                  <c:v>5.7113886000000003E-2</c:v>
                </c:pt>
                <c:pt idx="32">
                  <c:v>3.4978196000000003E-2</c:v>
                </c:pt>
                <c:pt idx="33">
                  <c:v>6.5313640000000006E-2</c:v>
                </c:pt>
                <c:pt idx="34">
                  <c:v>0.12478549</c:v>
                </c:pt>
                <c:pt idx="35">
                  <c:v>0.14789300999999999</c:v>
                </c:pt>
                <c:pt idx="36">
                  <c:v>2.0921324000000001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06-408E-98BE-BCAF558AA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947008"/>
        <c:axId val="220947584"/>
      </c:scatterChart>
      <c:valAx>
        <c:axId val="220947008"/>
        <c:scaling>
          <c:orientation val="minMax"/>
          <c:max val="8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en-US"/>
                  <a:t>Wind velocity (m/s)</a:t>
                </a:r>
              </a:p>
            </c:rich>
          </c:tx>
          <c:layout>
            <c:manualLayout>
              <c:xMode val="edge"/>
              <c:yMode val="edge"/>
              <c:x val="0.43203934459648824"/>
              <c:y val="0.9060150375939880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20947584"/>
        <c:crossesAt val="-100"/>
        <c:crossBetween val="midCat"/>
        <c:majorUnit val="1"/>
        <c:minorUnit val="1"/>
      </c:valAx>
      <c:valAx>
        <c:axId val="220947584"/>
        <c:scaling>
          <c:orientation val="minMax"/>
          <c:max val="2"/>
          <c:min val="-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ja-JP" sz="83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ko-KR" sz="830" b="0" i="0" baseline="0">
                    <a:effectLst/>
                  </a:rPr>
                  <a:t>Displacement (cm)</a:t>
                </a:r>
                <a:endParaRPr lang="ko-KR" altLang="ko-KR" sz="83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ja-JP" sz="83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 altLang="en-US" sz="830"/>
              </a:p>
            </c:rich>
          </c:tx>
          <c:layout>
            <c:manualLayout>
              <c:xMode val="edge"/>
              <c:yMode val="edge"/>
              <c:x val="1.3296593740560428E-3"/>
              <c:y val="0.26691746864975213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20947008"/>
        <c:crosses val="autoZero"/>
        <c:crossBetween val="midCat"/>
        <c:majorUnit val="0.5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235151630142616"/>
          <c:y val="8.3959899749373429E-2"/>
          <c:w val="0.1646165328965612"/>
          <c:h val="0.2232419631756556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0255" r="0.75000000000000255" t="1" header="0.51200000000000001" footer="0.512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06811650025191"/>
          <c:y val="5.6390977443609124E-2"/>
          <c:w val="0.83737963319605624"/>
          <c:h val="0.77067669172932363"/>
        </c:manualLayout>
      </c:layout>
      <c:scatterChart>
        <c:scatterStyle val="lineMarker"/>
        <c:varyColors val="0"/>
        <c:ser>
          <c:idx val="0"/>
          <c:order val="0"/>
          <c:tx>
            <c:v>Mean</c:v>
          </c:tx>
          <c:spPr>
            <a:ln w="9525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'0°_영상계측_sub'!$B$23:$B$117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'0°_영상계측_sub'!$C$23:$C$117</c:f>
              <c:numCache>
                <c:formatCode>0.00_ </c:formatCode>
                <c:ptCount val="95"/>
                <c:pt idx="0">
                  <c:v>5.6799156999999996E-3</c:v>
                </c:pt>
                <c:pt idx="1">
                  <c:v>5.0557948999999996E-3</c:v>
                </c:pt>
                <c:pt idx="2">
                  <c:v>-2.4688697000000001E-3</c:v>
                </c:pt>
                <c:pt idx="3">
                  <c:v>-4.1169157999999999E-3</c:v>
                </c:pt>
                <c:pt idx="4">
                  <c:v>-9.7977099999999994E-4</c:v>
                </c:pt>
                <c:pt idx="5">
                  <c:v>4.6381868000000001E-3</c:v>
                </c:pt>
                <c:pt idx="6">
                  <c:v>-4.7005711000000002E-3</c:v>
                </c:pt>
                <c:pt idx="7">
                  <c:v>7.0867552000000002E-3</c:v>
                </c:pt>
                <c:pt idx="8">
                  <c:v>4.0124128000000001E-5</c:v>
                </c:pt>
                <c:pt idx="9">
                  <c:v>-1.6793667000000001E-3</c:v>
                </c:pt>
                <c:pt idx="10">
                  <c:v>-3.0792218999999999E-3</c:v>
                </c:pt>
                <c:pt idx="11">
                  <c:v>1.9651307E-2</c:v>
                </c:pt>
                <c:pt idx="12">
                  <c:v>1.4812629000000001E-2</c:v>
                </c:pt>
                <c:pt idx="13">
                  <c:v>2.1497289999999999E-2</c:v>
                </c:pt>
                <c:pt idx="14">
                  <c:v>3.4105898000000003E-2</c:v>
                </c:pt>
                <c:pt idx="15">
                  <c:v>1.2788806999999999E-2</c:v>
                </c:pt>
                <c:pt idx="16">
                  <c:v>4.4263074000000001E-3</c:v>
                </c:pt>
                <c:pt idx="17">
                  <c:v>5.3239215999999999E-3</c:v>
                </c:pt>
                <c:pt idx="18">
                  <c:v>8.3737907999999993E-3</c:v>
                </c:pt>
                <c:pt idx="19">
                  <c:v>1.8347019999999999E-2</c:v>
                </c:pt>
                <c:pt idx="20">
                  <c:v>3.4480812E-2</c:v>
                </c:pt>
                <c:pt idx="21">
                  <c:v>2.932558E-2</c:v>
                </c:pt>
                <c:pt idx="22">
                  <c:v>3.1465686999999999E-2</c:v>
                </c:pt>
                <c:pt idx="23">
                  <c:v>2.5995951E-2</c:v>
                </c:pt>
                <c:pt idx="24">
                  <c:v>2.7556408000000001E-2</c:v>
                </c:pt>
                <c:pt idx="25">
                  <c:v>2.7310866999999999E-2</c:v>
                </c:pt>
                <c:pt idx="26">
                  <c:v>3.9345045000000002E-2</c:v>
                </c:pt>
                <c:pt idx="27">
                  <c:v>3.7841151000000003E-2</c:v>
                </c:pt>
                <c:pt idx="28">
                  <c:v>3.5509776999999999E-2</c:v>
                </c:pt>
                <c:pt idx="29">
                  <c:v>3.4363233E-2</c:v>
                </c:pt>
                <c:pt idx="30">
                  <c:v>3.2484106999999998E-2</c:v>
                </c:pt>
                <c:pt idx="31">
                  <c:v>3.2621214000000003E-2</c:v>
                </c:pt>
                <c:pt idx="32">
                  <c:v>3.2525708E-2</c:v>
                </c:pt>
                <c:pt idx="33">
                  <c:v>3.5182070000000003E-2</c:v>
                </c:pt>
                <c:pt idx="34">
                  <c:v>3.5370285000000001E-2</c:v>
                </c:pt>
                <c:pt idx="35">
                  <c:v>3.6568871000000003E-2</c:v>
                </c:pt>
                <c:pt idx="36">
                  <c:v>4.0830828999999999E-3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41-4E29-A1CB-2BB8AC5D97A1}"/>
            </c:ext>
          </c:extLst>
        </c:ser>
        <c:ser>
          <c:idx val="1"/>
          <c:order val="1"/>
          <c:tx>
            <c:v>RMS</c:v>
          </c:tx>
          <c:spPr>
            <a:ln w="952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'0°_영상계측_sub'!$B$23:$B$117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'0°_영상계측_sub'!$D$23:$D$117</c:f>
              <c:numCache>
                <c:formatCode>0.00_ </c:formatCode>
                <c:ptCount val="95"/>
                <c:pt idx="0">
                  <c:v>1.2902032E-3</c:v>
                </c:pt>
                <c:pt idx="1">
                  <c:v>3.1864638999999999E-3</c:v>
                </c:pt>
                <c:pt idx="2">
                  <c:v>2.1555580000000001E-3</c:v>
                </c:pt>
                <c:pt idx="3">
                  <c:v>3.8691482999999999E-3</c:v>
                </c:pt>
                <c:pt idx="4">
                  <c:v>2.4706098000000002E-3</c:v>
                </c:pt>
                <c:pt idx="5">
                  <c:v>3.9602515999999999E-3</c:v>
                </c:pt>
                <c:pt idx="6">
                  <c:v>7.8895692999999996E-3</c:v>
                </c:pt>
                <c:pt idx="7">
                  <c:v>0.17832284000000001</c:v>
                </c:pt>
                <c:pt idx="8">
                  <c:v>0.25932941999999998</c:v>
                </c:pt>
                <c:pt idx="9">
                  <c:v>0.24644916</c:v>
                </c:pt>
                <c:pt idx="10">
                  <c:v>0.12004565</c:v>
                </c:pt>
                <c:pt idx="11">
                  <c:v>1.9884255999999999E-2</c:v>
                </c:pt>
                <c:pt idx="12">
                  <c:v>1.8620463E-2</c:v>
                </c:pt>
                <c:pt idx="13">
                  <c:v>2.0117161000000001E-2</c:v>
                </c:pt>
                <c:pt idx="14">
                  <c:v>2.3749678999999999E-2</c:v>
                </c:pt>
                <c:pt idx="15">
                  <c:v>1.8096832E-2</c:v>
                </c:pt>
                <c:pt idx="16">
                  <c:v>1.5097493E-2</c:v>
                </c:pt>
                <c:pt idx="17">
                  <c:v>1.0754809000000001E-2</c:v>
                </c:pt>
                <c:pt idx="18">
                  <c:v>1.7359125E-2</c:v>
                </c:pt>
                <c:pt idx="19">
                  <c:v>2.5139989000000001E-2</c:v>
                </c:pt>
                <c:pt idx="20">
                  <c:v>3.1569456000000003E-2</c:v>
                </c:pt>
                <c:pt idx="21">
                  <c:v>3.2560750999999999E-2</c:v>
                </c:pt>
                <c:pt idx="22">
                  <c:v>3.7686989999999997E-2</c:v>
                </c:pt>
                <c:pt idx="23">
                  <c:v>5.5934284000000001E-2</c:v>
                </c:pt>
                <c:pt idx="24">
                  <c:v>4.9749333999999999E-2</c:v>
                </c:pt>
                <c:pt idx="25">
                  <c:v>5.1547652999999999E-2</c:v>
                </c:pt>
                <c:pt idx="26">
                  <c:v>5.2842426999999997E-2</c:v>
                </c:pt>
                <c:pt idx="27">
                  <c:v>5.2224266999999998E-2</c:v>
                </c:pt>
                <c:pt idx="28">
                  <c:v>5.3432520999999997E-2</c:v>
                </c:pt>
                <c:pt idx="29">
                  <c:v>5.2781771999999998E-2</c:v>
                </c:pt>
                <c:pt idx="30">
                  <c:v>7.3706563000000003E-2</c:v>
                </c:pt>
                <c:pt idx="31">
                  <c:v>6.1760656999999997E-2</c:v>
                </c:pt>
                <c:pt idx="32">
                  <c:v>7.2051279999999995E-2</c:v>
                </c:pt>
                <c:pt idx="33">
                  <c:v>6.3863346000000001E-2</c:v>
                </c:pt>
                <c:pt idx="34">
                  <c:v>0.11228941000000001</c:v>
                </c:pt>
                <c:pt idx="35">
                  <c:v>9.6371915000000002E-2</c:v>
                </c:pt>
                <c:pt idx="36">
                  <c:v>0.10442685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41-4E29-A1CB-2BB8AC5D97A1}"/>
            </c:ext>
          </c:extLst>
        </c:ser>
        <c:ser>
          <c:idx val="2"/>
          <c:order val="2"/>
          <c:tx>
            <c:v>Peak</c:v>
          </c:tx>
          <c:spPr>
            <a:ln w="9525">
              <a:solidFill>
                <a:srgbClr val="0070C0"/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'0°_영상계측_sub'!$B$23:$B$117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'0°_영상계측_sub'!$E$23:$E$117</c:f>
              <c:numCache>
                <c:formatCode>0.00_ </c:formatCode>
                <c:ptCount val="95"/>
                <c:pt idx="0">
                  <c:v>4.2714192000000003E-3</c:v>
                </c:pt>
                <c:pt idx="1">
                  <c:v>8.9649025999999996E-3</c:v>
                </c:pt>
                <c:pt idx="2">
                  <c:v>1.2457698E-2</c:v>
                </c:pt>
                <c:pt idx="3">
                  <c:v>2.0276345000000001E-2</c:v>
                </c:pt>
                <c:pt idx="4">
                  <c:v>1.0211947000000001E-2</c:v>
                </c:pt>
                <c:pt idx="5">
                  <c:v>1.0606496E-2</c:v>
                </c:pt>
                <c:pt idx="6">
                  <c:v>2.9836721E-2</c:v>
                </c:pt>
                <c:pt idx="7">
                  <c:v>0.25753047000000001</c:v>
                </c:pt>
                <c:pt idx="8">
                  <c:v>0.37301445999999999</c:v>
                </c:pt>
                <c:pt idx="9">
                  <c:v>0.35594627000000001</c:v>
                </c:pt>
                <c:pt idx="10">
                  <c:v>0.20080629</c:v>
                </c:pt>
                <c:pt idx="11">
                  <c:v>5.2582297E-2</c:v>
                </c:pt>
                <c:pt idx="12">
                  <c:v>6.3019836999999995E-2</c:v>
                </c:pt>
                <c:pt idx="13">
                  <c:v>5.8010348000000003E-2</c:v>
                </c:pt>
                <c:pt idx="14">
                  <c:v>6.0327706000000002E-2</c:v>
                </c:pt>
                <c:pt idx="15">
                  <c:v>5.2671133000000002E-2</c:v>
                </c:pt>
                <c:pt idx="16">
                  <c:v>3.9444539000000001E-2</c:v>
                </c:pt>
                <c:pt idx="17">
                  <c:v>2.8714532000000001E-2</c:v>
                </c:pt>
                <c:pt idx="18">
                  <c:v>5.8315288E-2</c:v>
                </c:pt>
                <c:pt idx="19">
                  <c:v>8.6694357E-2</c:v>
                </c:pt>
                <c:pt idx="20">
                  <c:v>8.5090681000000001E-2</c:v>
                </c:pt>
                <c:pt idx="21">
                  <c:v>9.7954346999999997E-2</c:v>
                </c:pt>
                <c:pt idx="22">
                  <c:v>0.12162878000000001</c:v>
                </c:pt>
                <c:pt idx="23">
                  <c:v>0.19758872</c:v>
                </c:pt>
                <c:pt idx="24">
                  <c:v>0.15209594000000001</c:v>
                </c:pt>
                <c:pt idx="25">
                  <c:v>0.17234672000000001</c:v>
                </c:pt>
                <c:pt idx="26">
                  <c:v>0.17416757999999999</c:v>
                </c:pt>
                <c:pt idx="27">
                  <c:v>0.14817506999999999</c:v>
                </c:pt>
                <c:pt idx="28">
                  <c:v>0.16195862999999999</c:v>
                </c:pt>
                <c:pt idx="29">
                  <c:v>0.18032023</c:v>
                </c:pt>
                <c:pt idx="30">
                  <c:v>0.19030138999999999</c:v>
                </c:pt>
                <c:pt idx="31">
                  <c:v>0.14946973</c:v>
                </c:pt>
                <c:pt idx="32">
                  <c:v>0.19835696999999999</c:v>
                </c:pt>
                <c:pt idx="33">
                  <c:v>0.18662782</c:v>
                </c:pt>
                <c:pt idx="34">
                  <c:v>0.31702914999999998</c:v>
                </c:pt>
                <c:pt idx="35">
                  <c:v>0.28471786999999998</c:v>
                </c:pt>
                <c:pt idx="36">
                  <c:v>0.27928410999999997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41-4E29-A1CB-2BB8AC5D9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49792"/>
        <c:axId val="210050368"/>
      </c:scatterChart>
      <c:valAx>
        <c:axId val="210049792"/>
        <c:scaling>
          <c:orientation val="minMax"/>
          <c:max val="8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en-US"/>
                  <a:t>Wind velocity (m/s)</a:t>
                </a:r>
              </a:p>
            </c:rich>
          </c:tx>
          <c:layout>
            <c:manualLayout>
              <c:xMode val="edge"/>
              <c:yMode val="edge"/>
              <c:x val="0.43203934459648824"/>
              <c:y val="0.9060150375939880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10050368"/>
        <c:crossesAt val="-100"/>
        <c:crossBetween val="midCat"/>
        <c:majorUnit val="1"/>
        <c:minorUnit val="1"/>
      </c:valAx>
      <c:valAx>
        <c:axId val="210050368"/>
        <c:scaling>
          <c:orientation val="minMax"/>
          <c:max val="2"/>
          <c:min val="-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en-US"/>
                  <a:t>Displacement (cm)</a:t>
                </a:r>
              </a:p>
            </c:rich>
          </c:tx>
          <c:layout>
            <c:manualLayout>
              <c:xMode val="edge"/>
              <c:yMode val="edge"/>
              <c:x val="1.2135922330097084E-2"/>
              <c:y val="0.26691729323308394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10049792"/>
        <c:crosses val="autoZero"/>
        <c:crossBetween val="midCat"/>
        <c:majorUnit val="0.5"/>
        <c:minorUnit val="0.25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235147330721592"/>
          <c:y val="6.8922305764411024E-2"/>
          <c:w val="0.18274186884978014"/>
          <c:h val="0.219934674832312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0255" r="0.75000000000000255" t="1" header="0.51200000000000001" footer="0.512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06811650025191"/>
          <c:y val="5.6390977443609124E-2"/>
          <c:w val="0.83737963319605624"/>
          <c:h val="0.77067669172932363"/>
        </c:manualLayout>
      </c:layout>
      <c:scatterChart>
        <c:scatterStyle val="lineMarker"/>
        <c:varyColors val="0"/>
        <c:ser>
          <c:idx val="0"/>
          <c:order val="0"/>
          <c:tx>
            <c:v>Mean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'0°_영상계측_sub'!$F$23:$F$117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'0°_영상계측_sub'!$G$23:$G$117</c:f>
              <c:numCache>
                <c:formatCode>0.00_ </c:formatCode>
                <c:ptCount val="95"/>
                <c:pt idx="0">
                  <c:v>-5.6197173999999999E-3</c:v>
                </c:pt>
                <c:pt idx="1">
                  <c:v>-7.4445522999999998E-3</c:v>
                </c:pt>
                <c:pt idx="2">
                  <c:v>-1.2594246E-2</c:v>
                </c:pt>
                <c:pt idx="3">
                  <c:v>-2.3125197E-2</c:v>
                </c:pt>
                <c:pt idx="4">
                  <c:v>-7.3749875999999997E-3</c:v>
                </c:pt>
                <c:pt idx="5">
                  <c:v>1.7843576E-2</c:v>
                </c:pt>
                <c:pt idx="6">
                  <c:v>3.0331105000000001E-2</c:v>
                </c:pt>
                <c:pt idx="7">
                  <c:v>4.3785013999999997E-2</c:v>
                </c:pt>
                <c:pt idx="8">
                  <c:v>5.1322877000000003E-2</c:v>
                </c:pt>
                <c:pt idx="9">
                  <c:v>4.8498765999999999E-2</c:v>
                </c:pt>
                <c:pt idx="10">
                  <c:v>4.0694407000000002E-2</c:v>
                </c:pt>
                <c:pt idx="11">
                  <c:v>7.6233205999999998E-2</c:v>
                </c:pt>
                <c:pt idx="12">
                  <c:v>7.2689612000000001E-2</c:v>
                </c:pt>
                <c:pt idx="13">
                  <c:v>6.8555047999999993E-2</c:v>
                </c:pt>
                <c:pt idx="14">
                  <c:v>5.4344178E-2</c:v>
                </c:pt>
                <c:pt idx="15">
                  <c:v>6.2230136999999998E-2</c:v>
                </c:pt>
                <c:pt idx="16">
                  <c:v>7.7009948999999994E-2</c:v>
                </c:pt>
                <c:pt idx="17">
                  <c:v>7.1757590999999996E-2</c:v>
                </c:pt>
                <c:pt idx="18">
                  <c:v>6.3500651000000005E-2</c:v>
                </c:pt>
                <c:pt idx="19">
                  <c:v>6.5555569999999994E-2</c:v>
                </c:pt>
                <c:pt idx="20">
                  <c:v>9.2076303999999998E-2</c:v>
                </c:pt>
                <c:pt idx="21">
                  <c:v>8.4042424000000004E-2</c:v>
                </c:pt>
                <c:pt idx="22">
                  <c:v>7.9578457000000005E-2</c:v>
                </c:pt>
                <c:pt idx="23">
                  <c:v>8.3653851000000001E-2</c:v>
                </c:pt>
                <c:pt idx="24">
                  <c:v>7.1292620000000001E-2</c:v>
                </c:pt>
                <c:pt idx="25">
                  <c:v>7.0453132000000002E-2</c:v>
                </c:pt>
                <c:pt idx="26">
                  <c:v>8.4306406E-2</c:v>
                </c:pt>
                <c:pt idx="27">
                  <c:v>8.7854915000000006E-2</c:v>
                </c:pt>
                <c:pt idx="28">
                  <c:v>8.0366740000000006E-2</c:v>
                </c:pt>
                <c:pt idx="29">
                  <c:v>6.9627579999999994E-2</c:v>
                </c:pt>
                <c:pt idx="30">
                  <c:v>6.6203131999999998E-2</c:v>
                </c:pt>
                <c:pt idx="31">
                  <c:v>6.3462166E-2</c:v>
                </c:pt>
                <c:pt idx="32">
                  <c:v>6.1339250999999997E-2</c:v>
                </c:pt>
                <c:pt idx="33">
                  <c:v>6.0546597000000001E-2</c:v>
                </c:pt>
                <c:pt idx="34">
                  <c:v>5.8657430000000003E-2</c:v>
                </c:pt>
                <c:pt idx="35">
                  <c:v>5.5598839999999997E-2</c:v>
                </c:pt>
                <c:pt idx="36">
                  <c:v>0.26648810000000001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0-416E-A770-416DFBA9EEF6}"/>
            </c:ext>
          </c:extLst>
        </c:ser>
        <c:ser>
          <c:idx val="1"/>
          <c:order val="1"/>
          <c:tx>
            <c:v>RMS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'0°_영상계측_sub'!$F$23:$F$117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'0°_영상계측_sub'!$H$23:$H$117</c:f>
              <c:numCache>
                <c:formatCode>0.00_ </c:formatCode>
                <c:ptCount val="95"/>
                <c:pt idx="0">
                  <c:v>2.6138236000000001E-3</c:v>
                </c:pt>
                <c:pt idx="1">
                  <c:v>5.9941138999999996E-3</c:v>
                </c:pt>
                <c:pt idx="2">
                  <c:v>3.7287466E-3</c:v>
                </c:pt>
                <c:pt idx="3">
                  <c:v>6.0768882E-3</c:v>
                </c:pt>
                <c:pt idx="4">
                  <c:v>3.5028250000000002E-3</c:v>
                </c:pt>
                <c:pt idx="5">
                  <c:v>3.2276848E-3</c:v>
                </c:pt>
                <c:pt idx="6">
                  <c:v>3.4798479000000002E-3</c:v>
                </c:pt>
                <c:pt idx="7">
                  <c:v>1.2205661E-2</c:v>
                </c:pt>
                <c:pt idx="8">
                  <c:v>1.5976252999999999E-2</c:v>
                </c:pt>
                <c:pt idx="9">
                  <c:v>1.2819829E-2</c:v>
                </c:pt>
                <c:pt idx="10">
                  <c:v>1.5394474999999999E-2</c:v>
                </c:pt>
                <c:pt idx="11">
                  <c:v>0.21625222</c:v>
                </c:pt>
                <c:pt idx="12">
                  <c:v>0.2399425</c:v>
                </c:pt>
                <c:pt idx="13">
                  <c:v>0.21567555999999999</c:v>
                </c:pt>
                <c:pt idx="14">
                  <c:v>9.6294228999999995E-2</c:v>
                </c:pt>
                <c:pt idx="15">
                  <c:v>1.1306752E-2</c:v>
                </c:pt>
                <c:pt idx="16">
                  <c:v>1.0434453999999999E-2</c:v>
                </c:pt>
                <c:pt idx="17">
                  <c:v>1.2571072000000001E-2</c:v>
                </c:pt>
                <c:pt idx="18">
                  <c:v>2.3182746000000001E-2</c:v>
                </c:pt>
                <c:pt idx="19">
                  <c:v>0.12186646</c:v>
                </c:pt>
                <c:pt idx="20">
                  <c:v>0.22410060000000001</c:v>
                </c:pt>
                <c:pt idx="21">
                  <c:v>0.28937418999999998</c:v>
                </c:pt>
                <c:pt idx="22">
                  <c:v>0.34415521999999998</c:v>
                </c:pt>
                <c:pt idx="23">
                  <c:v>0.38201273000000002</c:v>
                </c:pt>
                <c:pt idx="24">
                  <c:v>0.40478499000000001</c:v>
                </c:pt>
                <c:pt idx="25">
                  <c:v>0.41973565000000002</c:v>
                </c:pt>
                <c:pt idx="26">
                  <c:v>0.40366173999999999</c:v>
                </c:pt>
                <c:pt idx="27">
                  <c:v>0.28596758999999999</c:v>
                </c:pt>
                <c:pt idx="28">
                  <c:v>0.13403437000000001</c:v>
                </c:pt>
                <c:pt idx="29">
                  <c:v>4.0102642000000001E-2</c:v>
                </c:pt>
                <c:pt idx="30">
                  <c:v>3.5911356999999998E-2</c:v>
                </c:pt>
                <c:pt idx="31">
                  <c:v>4.2848627E-2</c:v>
                </c:pt>
                <c:pt idx="32">
                  <c:v>3.2030762999999997E-2</c:v>
                </c:pt>
                <c:pt idx="33">
                  <c:v>4.4141107999999998E-2</c:v>
                </c:pt>
                <c:pt idx="34">
                  <c:v>5.5574317999999998E-2</c:v>
                </c:pt>
                <c:pt idx="35">
                  <c:v>5.4559859000000002E-2</c:v>
                </c:pt>
                <c:pt idx="36">
                  <c:v>1.0930422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10-416E-A770-416DFBA9EEF6}"/>
            </c:ext>
          </c:extLst>
        </c:ser>
        <c:ser>
          <c:idx val="2"/>
          <c:order val="2"/>
          <c:tx>
            <c:v>Peak</c:v>
          </c:tx>
          <c:spPr>
            <a:ln w="12700">
              <a:solidFill>
                <a:srgbClr val="0070C0"/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'0°_영상계측_sub'!$F$23:$F$117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'0°_영상계측_sub'!$I$23:$I$117</c:f>
              <c:numCache>
                <c:formatCode>0.00_ </c:formatCode>
                <c:ptCount val="95"/>
                <c:pt idx="0">
                  <c:v>2.7136693999999999E-2</c:v>
                </c:pt>
                <c:pt idx="1">
                  <c:v>3.8526447999999998E-2</c:v>
                </c:pt>
                <c:pt idx="2">
                  <c:v>5.0677817999999999E-2</c:v>
                </c:pt>
                <c:pt idx="3">
                  <c:v>8.4657985000000005E-2</c:v>
                </c:pt>
                <c:pt idx="4">
                  <c:v>3.3815677000000002E-2</c:v>
                </c:pt>
                <c:pt idx="5">
                  <c:v>-4.6436554000000001E-3</c:v>
                </c:pt>
                <c:pt idx="6">
                  <c:v>-2.0544049000000002E-2</c:v>
                </c:pt>
                <c:pt idx="7">
                  <c:v>1.2276253000000001E-2</c:v>
                </c:pt>
                <c:pt idx="8">
                  <c:v>4.0803630999999996E-3</c:v>
                </c:pt>
                <c:pt idx="9">
                  <c:v>1.0115694000000001E-3</c:v>
                </c:pt>
                <c:pt idx="10">
                  <c:v>7.4453506000000001E-3</c:v>
                </c:pt>
                <c:pt idx="11">
                  <c:v>0.26150233000000001</c:v>
                </c:pt>
                <c:pt idx="12">
                  <c:v>0.26635208999999999</c:v>
                </c:pt>
                <c:pt idx="13">
                  <c:v>0.27687484000000001</c:v>
                </c:pt>
                <c:pt idx="14">
                  <c:v>0.13718950999999999</c:v>
                </c:pt>
                <c:pt idx="15">
                  <c:v>-2.4010545000000001E-2</c:v>
                </c:pt>
                <c:pt idx="16">
                  <c:v>-4.1998988000000001E-2</c:v>
                </c:pt>
                <c:pt idx="17">
                  <c:v>-3.7312046000000001E-2</c:v>
                </c:pt>
                <c:pt idx="18">
                  <c:v>-1.5107071999999999E-2</c:v>
                </c:pt>
                <c:pt idx="19">
                  <c:v>0.17634648</c:v>
                </c:pt>
                <c:pt idx="20">
                  <c:v>0.25332712000000002</c:v>
                </c:pt>
                <c:pt idx="21">
                  <c:v>0.33192695999999999</c:v>
                </c:pt>
                <c:pt idx="22">
                  <c:v>0.42008792</c:v>
                </c:pt>
                <c:pt idx="23">
                  <c:v>0.47140567</c:v>
                </c:pt>
                <c:pt idx="24">
                  <c:v>0.51624017</c:v>
                </c:pt>
                <c:pt idx="25">
                  <c:v>0.54454053000000002</c:v>
                </c:pt>
                <c:pt idx="26">
                  <c:v>0.52005049000000003</c:v>
                </c:pt>
                <c:pt idx="27">
                  <c:v>0.31604342000000002</c:v>
                </c:pt>
                <c:pt idx="28">
                  <c:v>0.15837143000000001</c:v>
                </c:pt>
                <c:pt idx="29">
                  <c:v>3.7701683999999999E-2</c:v>
                </c:pt>
                <c:pt idx="30">
                  <c:v>3.7256530000000003E-2</c:v>
                </c:pt>
                <c:pt idx="31">
                  <c:v>4.7123682E-2</c:v>
                </c:pt>
                <c:pt idx="32">
                  <c:v>2.9037555E-2</c:v>
                </c:pt>
                <c:pt idx="33">
                  <c:v>4.2020025000000003E-2</c:v>
                </c:pt>
                <c:pt idx="34">
                  <c:v>9.9943900000000002E-2</c:v>
                </c:pt>
                <c:pt idx="35">
                  <c:v>0.14946149</c:v>
                </c:pt>
                <c:pt idx="36">
                  <c:v>2.0489709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10-416E-A770-416DFBA9E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947008"/>
        <c:axId val="220947584"/>
      </c:scatterChart>
      <c:valAx>
        <c:axId val="220947008"/>
        <c:scaling>
          <c:orientation val="minMax"/>
          <c:max val="8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en-US"/>
                  <a:t>Wind velocity (m/s)</a:t>
                </a:r>
              </a:p>
            </c:rich>
          </c:tx>
          <c:layout>
            <c:manualLayout>
              <c:xMode val="edge"/>
              <c:yMode val="edge"/>
              <c:x val="0.43203934459648824"/>
              <c:y val="0.9060150375939880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20947584"/>
        <c:crossesAt val="-100"/>
        <c:crossBetween val="midCat"/>
        <c:majorUnit val="1"/>
        <c:minorUnit val="1"/>
      </c:valAx>
      <c:valAx>
        <c:axId val="220947584"/>
        <c:scaling>
          <c:orientation val="minMax"/>
          <c:max val="2"/>
          <c:min val="-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ja-JP" sz="83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ko-KR" sz="830" b="0" i="0" baseline="0">
                    <a:effectLst/>
                  </a:rPr>
                  <a:t>Displacement (cm)</a:t>
                </a:r>
                <a:endParaRPr lang="ko-KR" altLang="ko-KR" sz="83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ja-JP" sz="83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 altLang="en-US" sz="830"/>
              </a:p>
            </c:rich>
          </c:tx>
          <c:layout>
            <c:manualLayout>
              <c:xMode val="edge"/>
              <c:yMode val="edge"/>
              <c:x val="1.3296593740560428E-3"/>
              <c:y val="0.26691746864975213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20947008"/>
        <c:crosses val="autoZero"/>
        <c:crossBetween val="midCat"/>
        <c:majorUnit val="0.5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235151630142616"/>
          <c:y val="8.3959899749373429E-2"/>
          <c:w val="0.1646165328965612"/>
          <c:h val="0.2232419631756556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0255" r="0.75000000000000255" t="1" header="0.51200000000000001" footer="0.512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06811650025191"/>
          <c:y val="5.6390977443609124E-2"/>
          <c:w val="0.83737963319605624"/>
          <c:h val="0.77067669172932363"/>
        </c:manualLayout>
      </c:layout>
      <c:scatterChart>
        <c:scatterStyle val="lineMarker"/>
        <c:varyColors val="0"/>
        <c:ser>
          <c:idx val="0"/>
          <c:order val="0"/>
          <c:tx>
            <c:v>Mean_Laser</c:v>
          </c:tx>
          <c:spPr>
            <a:ln w="9525">
              <a:solidFill>
                <a:srgbClr val="000000"/>
              </a:solidFill>
              <a:prstDash val="solid"/>
            </a:ln>
          </c:spPr>
          <c:marker>
            <c:symbol val="circle"/>
            <c:size val="7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'0°_laser'!$B$23:$B$117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'0°_laser'!$C$23:$C$117</c:f>
              <c:numCache>
                <c:formatCode>0.00_ </c:formatCode>
                <c:ptCount val="95"/>
                <c:pt idx="0">
                  <c:v>-3.1795000000000003E-5</c:v>
                </c:pt>
                <c:pt idx="1">
                  <c:v>-2.0816125000000001E-4</c:v>
                </c:pt>
                <c:pt idx="2">
                  <c:v>-1.4440000000000001E-4</c:v>
                </c:pt>
                <c:pt idx="3">
                  <c:v>5.2916249999999997E-5</c:v>
                </c:pt>
                <c:pt idx="4">
                  <c:v>-4.8250000000000001E-5</c:v>
                </c:pt>
                <c:pt idx="5">
                  <c:v>2.40435E-4</c:v>
                </c:pt>
                <c:pt idx="6">
                  <c:v>1.7875875000000001E-4</c:v>
                </c:pt>
                <c:pt idx="7">
                  <c:v>-2.0832238000000002E-3</c:v>
                </c:pt>
                <c:pt idx="8">
                  <c:v>-2.3841988E-3</c:v>
                </c:pt>
                <c:pt idx="9">
                  <c:v>-3.5786899999999998E-3</c:v>
                </c:pt>
                <c:pt idx="10">
                  <c:v>-2.7928474999999999E-3</c:v>
                </c:pt>
                <c:pt idx="11">
                  <c:v>1.1973475E-3</c:v>
                </c:pt>
                <c:pt idx="12">
                  <c:v>1.5611525000000001E-3</c:v>
                </c:pt>
                <c:pt idx="13">
                  <c:v>1.4740112E-3</c:v>
                </c:pt>
                <c:pt idx="14">
                  <c:v>-7.2597575000000001E-3</c:v>
                </c:pt>
                <c:pt idx="15">
                  <c:v>-2.3307687999999998E-3</c:v>
                </c:pt>
                <c:pt idx="16">
                  <c:v>-9.8759874999999994E-4</c:v>
                </c:pt>
                <c:pt idx="17">
                  <c:v>-1.5080988000000001E-3</c:v>
                </c:pt>
                <c:pt idx="18">
                  <c:v>-4.9964624999999999E-3</c:v>
                </c:pt>
                <c:pt idx="19">
                  <c:v>-1.1227750999999999E-2</c:v>
                </c:pt>
                <c:pt idx="20">
                  <c:v>-6.877125E-4</c:v>
                </c:pt>
                <c:pt idx="21">
                  <c:v>-4.9986388E-3</c:v>
                </c:pt>
                <c:pt idx="22">
                  <c:v>-5.6418750000000002E-3</c:v>
                </c:pt>
                <c:pt idx="23">
                  <c:v>-9.3563863000000001E-3</c:v>
                </c:pt>
                <c:pt idx="24">
                  <c:v>-1.0624125E-2</c:v>
                </c:pt>
                <c:pt idx="25">
                  <c:v>-9.4322412999999997E-3</c:v>
                </c:pt>
                <c:pt idx="26">
                  <c:v>-1.1504894999999999E-2</c:v>
                </c:pt>
                <c:pt idx="27">
                  <c:v>-8.2552762999999994E-3</c:v>
                </c:pt>
                <c:pt idx="28">
                  <c:v>-7.9878512999999995E-3</c:v>
                </c:pt>
                <c:pt idx="29">
                  <c:v>-5.3459162999999997E-3</c:v>
                </c:pt>
                <c:pt idx="30">
                  <c:v>-8.9376025000000008E-3</c:v>
                </c:pt>
                <c:pt idx="31">
                  <c:v>-6.5603987999999997E-3</c:v>
                </c:pt>
                <c:pt idx="32">
                  <c:v>-7.3198600000000001E-3</c:v>
                </c:pt>
                <c:pt idx="33">
                  <c:v>-7.9295575E-3</c:v>
                </c:pt>
                <c:pt idx="34">
                  <c:v>-1.2215011E-2</c:v>
                </c:pt>
                <c:pt idx="35">
                  <c:v>-9.5333550000000003E-3</c:v>
                </c:pt>
                <c:pt idx="36">
                  <c:v>-3.7077312999999998E-3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60-4921-80D2-A906239A2BB0}"/>
            </c:ext>
          </c:extLst>
        </c:ser>
        <c:ser>
          <c:idx val="1"/>
          <c:order val="1"/>
          <c:tx>
            <c:v>RMS_Laser</c:v>
          </c:tx>
          <c:spPr>
            <a:ln w="9525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'0°_laser'!$B$23:$B$117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'0°_laser'!$D$23:$D$117</c:f>
              <c:numCache>
                <c:formatCode>0.00_ </c:formatCode>
                <c:ptCount val="95"/>
                <c:pt idx="0">
                  <c:v>2.6562487000000002E-3</c:v>
                </c:pt>
                <c:pt idx="1">
                  <c:v>2.6440284999999998E-3</c:v>
                </c:pt>
                <c:pt idx="2">
                  <c:v>2.6825301999999999E-3</c:v>
                </c:pt>
                <c:pt idx="3">
                  <c:v>2.7858005999999999E-3</c:v>
                </c:pt>
                <c:pt idx="4">
                  <c:v>3.0350689E-3</c:v>
                </c:pt>
                <c:pt idx="5">
                  <c:v>3.0336248999999998E-3</c:v>
                </c:pt>
                <c:pt idx="6">
                  <c:v>4.9217743E-3</c:v>
                </c:pt>
                <c:pt idx="7">
                  <c:v>0.22134623</c:v>
                </c:pt>
                <c:pt idx="8">
                  <c:v>0.27583862999999997</c:v>
                </c:pt>
                <c:pt idx="9">
                  <c:v>0.27393756000000002</c:v>
                </c:pt>
                <c:pt idx="10">
                  <c:v>0.14766327000000001</c:v>
                </c:pt>
                <c:pt idx="11">
                  <c:v>4.9283832E-2</c:v>
                </c:pt>
                <c:pt idx="12">
                  <c:v>5.8140483999999999E-2</c:v>
                </c:pt>
                <c:pt idx="13">
                  <c:v>5.4361037000000001E-2</c:v>
                </c:pt>
                <c:pt idx="14">
                  <c:v>3.1475325999999998E-2</c:v>
                </c:pt>
                <c:pt idx="15">
                  <c:v>1.4926887999999999E-2</c:v>
                </c:pt>
                <c:pt idx="16">
                  <c:v>1.6869105999999998E-2</c:v>
                </c:pt>
                <c:pt idx="17">
                  <c:v>1.3394266E-2</c:v>
                </c:pt>
                <c:pt idx="18">
                  <c:v>1.6276401999999999E-2</c:v>
                </c:pt>
                <c:pt idx="19">
                  <c:v>3.5949279000000001E-2</c:v>
                </c:pt>
                <c:pt idx="20">
                  <c:v>5.8600896E-2</c:v>
                </c:pt>
                <c:pt idx="21">
                  <c:v>7.3862022999999999E-2</c:v>
                </c:pt>
                <c:pt idx="22">
                  <c:v>8.4236863999999995E-2</c:v>
                </c:pt>
                <c:pt idx="23">
                  <c:v>9.5784405000000003E-2</c:v>
                </c:pt>
                <c:pt idx="24">
                  <c:v>9.7508465000000002E-2</c:v>
                </c:pt>
                <c:pt idx="25">
                  <c:v>9.3896489E-2</c:v>
                </c:pt>
                <c:pt idx="26">
                  <c:v>9.5554121000000006E-2</c:v>
                </c:pt>
                <c:pt idx="27">
                  <c:v>7.1859888999999996E-2</c:v>
                </c:pt>
                <c:pt idx="28">
                  <c:v>6.2655073000000006E-2</c:v>
                </c:pt>
                <c:pt idx="29">
                  <c:v>7.5615572000000006E-2</c:v>
                </c:pt>
                <c:pt idx="30">
                  <c:v>6.7120639999999995E-2</c:v>
                </c:pt>
                <c:pt idx="31">
                  <c:v>6.7561352000000005E-2</c:v>
                </c:pt>
                <c:pt idx="32">
                  <c:v>9.0640020000000002E-2</c:v>
                </c:pt>
                <c:pt idx="33">
                  <c:v>7.8564669000000004E-2</c:v>
                </c:pt>
                <c:pt idx="34">
                  <c:v>7.8663078999999997E-2</c:v>
                </c:pt>
                <c:pt idx="35">
                  <c:v>8.4693105000000005E-2</c:v>
                </c:pt>
                <c:pt idx="36">
                  <c:v>0.25925028999999999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60-4921-80D2-A906239A2BB0}"/>
            </c:ext>
          </c:extLst>
        </c:ser>
        <c:ser>
          <c:idx val="2"/>
          <c:order val="2"/>
          <c:tx>
            <c:v>Peak_Laser</c:v>
          </c:tx>
          <c:spPr>
            <a:ln w="9525">
              <a:solidFill>
                <a:srgbClr val="0070C0"/>
              </a:solidFill>
            </a:ln>
          </c:spPr>
          <c:marker>
            <c:symbol val="triangle"/>
            <c:size val="7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'0°_laser'!$B$23:$B$117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'0°_laser'!$E$23:$E$117</c:f>
              <c:numCache>
                <c:formatCode>0.00_ </c:formatCode>
                <c:ptCount val="95"/>
                <c:pt idx="0">
                  <c:v>1.4140188E-2</c:v>
                </c:pt>
                <c:pt idx="1">
                  <c:v>1.2735269E-2</c:v>
                </c:pt>
                <c:pt idx="2">
                  <c:v>1.5776508000000002E-2</c:v>
                </c:pt>
                <c:pt idx="3">
                  <c:v>1.5579190999999999E-2</c:v>
                </c:pt>
                <c:pt idx="4">
                  <c:v>1.6557858000000002E-2</c:v>
                </c:pt>
                <c:pt idx="5">
                  <c:v>1.7863957999999999E-2</c:v>
                </c:pt>
                <c:pt idx="6">
                  <c:v>2.0340349000000001E-2</c:v>
                </c:pt>
                <c:pt idx="7">
                  <c:v>0.32620382999999997</c:v>
                </c:pt>
                <c:pt idx="8">
                  <c:v>0.40417030999999998</c:v>
                </c:pt>
                <c:pt idx="9">
                  <c:v>0.40562308000000002</c:v>
                </c:pt>
                <c:pt idx="10">
                  <c:v>0.25233946000000002</c:v>
                </c:pt>
                <c:pt idx="11">
                  <c:v>9.8568544999999994E-2</c:v>
                </c:pt>
                <c:pt idx="12">
                  <c:v>0.10664224</c:v>
                </c:pt>
                <c:pt idx="13">
                  <c:v>0.10406988</c:v>
                </c:pt>
                <c:pt idx="14">
                  <c:v>8.3508650000000004E-2</c:v>
                </c:pt>
                <c:pt idx="15">
                  <c:v>5.0362876000000001E-2</c:v>
                </c:pt>
                <c:pt idx="16">
                  <c:v>6.9877205999999997E-2</c:v>
                </c:pt>
                <c:pt idx="17">
                  <c:v>4.8649206E-2</c:v>
                </c:pt>
                <c:pt idx="18">
                  <c:v>5.5256069999999997E-2</c:v>
                </c:pt>
                <c:pt idx="19">
                  <c:v>0.10409336</c:v>
                </c:pt>
                <c:pt idx="20">
                  <c:v>0.1230931</c:v>
                </c:pt>
                <c:pt idx="21">
                  <c:v>0.15955925000000001</c:v>
                </c:pt>
                <c:pt idx="22">
                  <c:v>0.19393898000000001</c:v>
                </c:pt>
                <c:pt idx="23">
                  <c:v>0.22960799000000001</c:v>
                </c:pt>
                <c:pt idx="24">
                  <c:v>0.24108172999999999</c:v>
                </c:pt>
                <c:pt idx="25">
                  <c:v>0.23526113000000001</c:v>
                </c:pt>
                <c:pt idx="26">
                  <c:v>0.278804</c:v>
                </c:pt>
                <c:pt idx="27">
                  <c:v>0.22761587999999999</c:v>
                </c:pt>
                <c:pt idx="28">
                  <c:v>0.18675574</c:v>
                </c:pt>
                <c:pt idx="29">
                  <c:v>0.23136202</c:v>
                </c:pt>
                <c:pt idx="30">
                  <c:v>0.21612298999999999</c:v>
                </c:pt>
                <c:pt idx="31">
                  <c:v>0.25965750999999998</c:v>
                </c:pt>
                <c:pt idx="32">
                  <c:v>0.28261097000000002</c:v>
                </c:pt>
                <c:pt idx="33">
                  <c:v>0.29831366999999998</c:v>
                </c:pt>
                <c:pt idx="34">
                  <c:v>0.24179512</c:v>
                </c:pt>
                <c:pt idx="35">
                  <c:v>0.29237096000000001</c:v>
                </c:pt>
                <c:pt idx="36">
                  <c:v>0.47960883999999998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60-4921-80D2-A906239A2BB0}"/>
            </c:ext>
          </c:extLst>
        </c:ser>
        <c:ser>
          <c:idx val="3"/>
          <c:order val="3"/>
          <c:tx>
            <c:v>Mean_camera</c:v>
          </c:tx>
          <c:spPr>
            <a:ln w="127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 w="3175">
                <a:solidFill>
                  <a:schemeClr val="tx1"/>
                </a:solidFill>
              </a:ln>
            </c:spPr>
          </c:marker>
          <c:xVal>
            <c:numRef>
              <c:f>'0°_영상계측'!$A$23:$A$59</c:f>
              <c:numCache>
                <c:formatCode>0.00_ </c:formatCode>
                <c:ptCount val="37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'0°_영상계측'!$C$23:$C$59</c:f>
              <c:numCache>
                <c:formatCode>0.00_ </c:formatCode>
                <c:ptCount val="37"/>
                <c:pt idx="0">
                  <c:v>3.503314E-3</c:v>
                </c:pt>
                <c:pt idx="1">
                  <c:v>3.5639408000000001E-3</c:v>
                </c:pt>
                <c:pt idx="2">
                  <c:v>2.0063772999999998E-3</c:v>
                </c:pt>
                <c:pt idx="3">
                  <c:v>3.5363754000000002E-3</c:v>
                </c:pt>
                <c:pt idx="4">
                  <c:v>5.1580126000000002E-3</c:v>
                </c:pt>
                <c:pt idx="5">
                  <c:v>1.4235196E-3</c:v>
                </c:pt>
                <c:pt idx="6">
                  <c:v>-2.9702297999999999E-3</c:v>
                </c:pt>
                <c:pt idx="7">
                  <c:v>-3.9789626999999998E-3</c:v>
                </c:pt>
                <c:pt idx="8">
                  <c:v>-6.3388767E-3</c:v>
                </c:pt>
                <c:pt idx="9">
                  <c:v>-6.4614410999999997E-3</c:v>
                </c:pt>
                <c:pt idx="10">
                  <c:v>-6.3117787000000003E-3</c:v>
                </c:pt>
                <c:pt idx="11">
                  <c:v>-5.3654699999999998E-3</c:v>
                </c:pt>
                <c:pt idx="12">
                  <c:v>-3.7757702000000001E-4</c:v>
                </c:pt>
                <c:pt idx="13">
                  <c:v>3.2019214000000001E-3</c:v>
                </c:pt>
                <c:pt idx="14">
                  <c:v>1.2581765E-2</c:v>
                </c:pt>
                <c:pt idx="15">
                  <c:v>2.9555683000000001E-3</c:v>
                </c:pt>
                <c:pt idx="16">
                  <c:v>-5.1808553000000004E-3</c:v>
                </c:pt>
                <c:pt idx="17">
                  <c:v>-4.5052178E-3</c:v>
                </c:pt>
                <c:pt idx="18">
                  <c:v>-8.1372818000000004E-4</c:v>
                </c:pt>
                <c:pt idx="19">
                  <c:v>5.4199132000000002E-3</c:v>
                </c:pt>
                <c:pt idx="20">
                  <c:v>5.7410674E-3</c:v>
                </c:pt>
                <c:pt idx="21">
                  <c:v>9.0939018999999996E-3</c:v>
                </c:pt>
                <c:pt idx="22">
                  <c:v>1.0403236E-2</c:v>
                </c:pt>
                <c:pt idx="23">
                  <c:v>1.5246272E-2</c:v>
                </c:pt>
                <c:pt idx="24">
                  <c:v>1.8212586999999999E-2</c:v>
                </c:pt>
                <c:pt idx="25">
                  <c:v>1.7075718E-2</c:v>
                </c:pt>
                <c:pt idx="26">
                  <c:v>2.0156729000000002E-2</c:v>
                </c:pt>
                <c:pt idx="27">
                  <c:v>1.7084307999999999E-2</c:v>
                </c:pt>
                <c:pt idx="28">
                  <c:v>1.6853920000000001E-2</c:v>
                </c:pt>
                <c:pt idx="29">
                  <c:v>2.4014407000000002E-2</c:v>
                </c:pt>
                <c:pt idx="30">
                  <c:v>2.3325022000000001E-2</c:v>
                </c:pt>
                <c:pt idx="31">
                  <c:v>2.1760093000000001E-2</c:v>
                </c:pt>
                <c:pt idx="32">
                  <c:v>2.4700842000000001E-2</c:v>
                </c:pt>
                <c:pt idx="33">
                  <c:v>2.5840137999999999E-2</c:v>
                </c:pt>
                <c:pt idx="34">
                  <c:v>2.7739521E-2</c:v>
                </c:pt>
                <c:pt idx="35">
                  <c:v>2.8349516000000002E-2</c:v>
                </c:pt>
                <c:pt idx="36">
                  <c:v>1.5479928E-2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60-4921-80D2-A906239A2BB0}"/>
            </c:ext>
          </c:extLst>
        </c:ser>
        <c:ser>
          <c:idx val="4"/>
          <c:order val="4"/>
          <c:tx>
            <c:v>RMS_camera</c:v>
          </c:tx>
          <c:spPr>
            <a:ln w="15875">
              <a:solidFill>
                <a:srgbClr val="FF0000"/>
              </a:solidFill>
            </a:ln>
          </c:spPr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'0°_영상계측'!$A$23:$A$59</c:f>
              <c:numCache>
                <c:formatCode>0.00_ </c:formatCode>
                <c:ptCount val="37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'0°_영상계측'!$D$23:$D$59</c:f>
              <c:numCache>
                <c:formatCode>0.00_ </c:formatCode>
                <c:ptCount val="37"/>
                <c:pt idx="0">
                  <c:v>9.7353379000000005E-4</c:v>
                </c:pt>
                <c:pt idx="1">
                  <c:v>1.4469818E-3</c:v>
                </c:pt>
                <c:pt idx="2">
                  <c:v>1.5727255E-3</c:v>
                </c:pt>
                <c:pt idx="3">
                  <c:v>1.6432534E-3</c:v>
                </c:pt>
                <c:pt idx="4">
                  <c:v>1.5940626E-3</c:v>
                </c:pt>
                <c:pt idx="5">
                  <c:v>3.3534584999999999E-3</c:v>
                </c:pt>
                <c:pt idx="6">
                  <c:v>7.0972172000000004E-3</c:v>
                </c:pt>
                <c:pt idx="7">
                  <c:v>0.1714058</c:v>
                </c:pt>
                <c:pt idx="8">
                  <c:v>0.25130608999999998</c:v>
                </c:pt>
                <c:pt idx="9">
                  <c:v>0.23859986999999999</c:v>
                </c:pt>
                <c:pt idx="10">
                  <c:v>0.11674432</c:v>
                </c:pt>
                <c:pt idx="11">
                  <c:v>9.1291198E-3</c:v>
                </c:pt>
                <c:pt idx="12">
                  <c:v>9.8091535000000007E-3</c:v>
                </c:pt>
                <c:pt idx="13">
                  <c:v>1.2047034E-2</c:v>
                </c:pt>
                <c:pt idx="14">
                  <c:v>1.7679210000000001E-2</c:v>
                </c:pt>
                <c:pt idx="15">
                  <c:v>1.8261072E-2</c:v>
                </c:pt>
                <c:pt idx="16">
                  <c:v>1.5076791000000001E-2</c:v>
                </c:pt>
                <c:pt idx="17">
                  <c:v>1.0496337999999999E-2</c:v>
                </c:pt>
                <c:pt idx="18">
                  <c:v>1.6725634E-2</c:v>
                </c:pt>
                <c:pt idx="19">
                  <c:v>2.1456111E-2</c:v>
                </c:pt>
                <c:pt idx="20">
                  <c:v>2.0325587999999999E-2</c:v>
                </c:pt>
                <c:pt idx="21">
                  <c:v>2.6367429000000001E-2</c:v>
                </c:pt>
                <c:pt idx="22">
                  <c:v>3.2924556000000001E-2</c:v>
                </c:pt>
                <c:pt idx="23">
                  <c:v>5.3574245999999999E-2</c:v>
                </c:pt>
                <c:pt idx="24">
                  <c:v>4.6673107999999998E-2</c:v>
                </c:pt>
                <c:pt idx="25">
                  <c:v>4.7494492999999999E-2</c:v>
                </c:pt>
                <c:pt idx="26">
                  <c:v>5.2355799000000001E-2</c:v>
                </c:pt>
                <c:pt idx="27">
                  <c:v>4.9833035999999997E-2</c:v>
                </c:pt>
                <c:pt idx="28">
                  <c:v>5.1598508000000001E-2</c:v>
                </c:pt>
                <c:pt idx="29">
                  <c:v>5.1744999E-2</c:v>
                </c:pt>
                <c:pt idx="30">
                  <c:v>7.2600797999999994E-2</c:v>
                </c:pt>
                <c:pt idx="31">
                  <c:v>6.0966489999999998E-2</c:v>
                </c:pt>
                <c:pt idx="32">
                  <c:v>7.1062149000000005E-2</c:v>
                </c:pt>
                <c:pt idx="33">
                  <c:v>6.3213386999999996E-2</c:v>
                </c:pt>
                <c:pt idx="34">
                  <c:v>0.1075367</c:v>
                </c:pt>
                <c:pt idx="35">
                  <c:v>9.4307579000000002E-2</c:v>
                </c:pt>
                <c:pt idx="36">
                  <c:v>0.13014932000000001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60-4921-80D2-A906239A2BB0}"/>
            </c:ext>
          </c:extLst>
        </c:ser>
        <c:ser>
          <c:idx val="5"/>
          <c:order val="5"/>
          <c:tx>
            <c:v>Peak_camera</c:v>
          </c:tx>
          <c:spPr>
            <a:ln w="12700">
              <a:solidFill>
                <a:srgbClr val="0070C0"/>
              </a:solidFill>
            </a:ln>
          </c:spPr>
          <c:marker>
            <c:symbol val="triangle"/>
            <c:size val="7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'0°_영상계측'!$A$23:$A$59</c:f>
              <c:numCache>
                <c:formatCode>0.00_ </c:formatCode>
                <c:ptCount val="37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'0°_영상계측'!$E$23:$E$59</c:f>
              <c:numCache>
                <c:formatCode>0.00_ </c:formatCode>
                <c:ptCount val="37"/>
                <c:pt idx="0">
                  <c:v>2.8080294999999998E-3</c:v>
                </c:pt>
                <c:pt idx="1">
                  <c:v>5.3845207999999997E-3</c:v>
                </c:pt>
                <c:pt idx="2">
                  <c:v>5.0903735000000002E-3</c:v>
                </c:pt>
                <c:pt idx="3">
                  <c:v>4.4270713999999996E-3</c:v>
                </c:pt>
                <c:pt idx="4">
                  <c:v>5.5266882999999998E-3</c:v>
                </c:pt>
                <c:pt idx="5">
                  <c:v>9.7368629000000005E-3</c:v>
                </c:pt>
                <c:pt idx="6">
                  <c:v>2.2290884E-2</c:v>
                </c:pt>
                <c:pt idx="7">
                  <c:v>0.25661258999999997</c:v>
                </c:pt>
                <c:pt idx="8">
                  <c:v>0.37560060000000001</c:v>
                </c:pt>
                <c:pt idx="9">
                  <c:v>0.35630405999999998</c:v>
                </c:pt>
                <c:pt idx="10">
                  <c:v>0.19341047</c:v>
                </c:pt>
                <c:pt idx="11">
                  <c:v>3.9317271000000001E-2</c:v>
                </c:pt>
                <c:pt idx="12">
                  <c:v>5.1430577999999998E-2</c:v>
                </c:pt>
                <c:pt idx="13">
                  <c:v>4.1116315000000001E-2</c:v>
                </c:pt>
                <c:pt idx="14">
                  <c:v>4.7532286999999999E-2</c:v>
                </c:pt>
                <c:pt idx="15">
                  <c:v>5.2668430000000002E-2</c:v>
                </c:pt>
                <c:pt idx="16">
                  <c:v>5.3645107999999997E-2</c:v>
                </c:pt>
                <c:pt idx="17">
                  <c:v>4.1858055999999998E-2</c:v>
                </c:pt>
                <c:pt idx="18">
                  <c:v>5.6868613999999998E-2</c:v>
                </c:pt>
                <c:pt idx="19">
                  <c:v>7.9386132999999998E-2</c:v>
                </c:pt>
                <c:pt idx="20">
                  <c:v>7.2429437999999999E-2</c:v>
                </c:pt>
                <c:pt idx="21">
                  <c:v>8.3284037000000005E-2</c:v>
                </c:pt>
                <c:pt idx="22">
                  <c:v>9.4640460999999995E-2</c:v>
                </c:pt>
                <c:pt idx="23">
                  <c:v>0.16913528</c:v>
                </c:pt>
                <c:pt idx="24">
                  <c:v>0.15734540999999999</c:v>
                </c:pt>
                <c:pt idx="25">
                  <c:v>0.13288596</c:v>
                </c:pt>
                <c:pt idx="26">
                  <c:v>0.15409638000000001</c:v>
                </c:pt>
                <c:pt idx="27">
                  <c:v>0.13979902999999999</c:v>
                </c:pt>
                <c:pt idx="28">
                  <c:v>0.14305017</c:v>
                </c:pt>
                <c:pt idx="29">
                  <c:v>0.17389916999999999</c:v>
                </c:pt>
                <c:pt idx="30">
                  <c:v>0.18123033</c:v>
                </c:pt>
                <c:pt idx="31">
                  <c:v>0.14690685000000001</c:v>
                </c:pt>
                <c:pt idx="32">
                  <c:v>0.19340193</c:v>
                </c:pt>
                <c:pt idx="33">
                  <c:v>0.1766219</c:v>
                </c:pt>
                <c:pt idx="34">
                  <c:v>0.30881450999999999</c:v>
                </c:pt>
                <c:pt idx="35">
                  <c:v>0.27828340000000001</c:v>
                </c:pt>
                <c:pt idx="36">
                  <c:v>0.30387252999999997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60-4921-80D2-A906239A2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49792"/>
        <c:axId val="210050368"/>
      </c:scatterChart>
      <c:valAx>
        <c:axId val="210049792"/>
        <c:scaling>
          <c:orientation val="minMax"/>
          <c:max val="8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velocity (m/s)</a:t>
                </a:r>
              </a:p>
            </c:rich>
          </c:tx>
          <c:layout>
            <c:manualLayout>
              <c:xMode val="edge"/>
              <c:yMode val="edge"/>
              <c:x val="0.43203934459648824"/>
              <c:y val="0.9060150375939880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210050368"/>
        <c:crossesAt val="-100"/>
        <c:crossBetween val="midCat"/>
        <c:majorUnit val="1"/>
        <c:minorUnit val="1"/>
      </c:valAx>
      <c:valAx>
        <c:axId val="210050368"/>
        <c:scaling>
          <c:orientation val="minMax"/>
          <c:max val="2"/>
          <c:min val="-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Displacement (cm)</a:t>
                </a:r>
              </a:p>
            </c:rich>
          </c:tx>
          <c:layout>
            <c:manualLayout>
              <c:xMode val="edge"/>
              <c:yMode val="edge"/>
              <c:x val="1.2135922330097084E-2"/>
              <c:y val="0.26691729323308394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210049792"/>
        <c:crosses val="autoZero"/>
        <c:crossBetween val="midCat"/>
        <c:majorUnit val="0.5"/>
        <c:minorUnit val="0.25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235147330721592"/>
          <c:y val="6.8922305764411024E-2"/>
          <c:w val="0.16396225686898391"/>
          <c:h val="0.314708661417322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0255" r="0.75000000000000255" t="1" header="0.51200000000000001" footer="0.512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06811650025191"/>
          <c:y val="5.6390977443609124E-2"/>
          <c:w val="0.83737963319605624"/>
          <c:h val="0.77067669172932363"/>
        </c:manualLayout>
      </c:layout>
      <c:scatterChart>
        <c:scatterStyle val="lineMarker"/>
        <c:varyColors val="0"/>
        <c:ser>
          <c:idx val="0"/>
          <c:order val="0"/>
          <c:tx>
            <c:v>Mean_Laser</c:v>
          </c:tx>
          <c:spPr>
            <a:ln w="9525">
              <a:solidFill>
                <a:srgbClr val="000000"/>
              </a:solidFill>
              <a:prstDash val="solid"/>
            </a:ln>
          </c:spPr>
          <c:marker>
            <c:symbol val="circle"/>
            <c:size val="7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'0°_laser'!$F$23:$F$117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'0°_laser'!$G$23:$G$117</c:f>
              <c:numCache>
                <c:formatCode>0.00_ </c:formatCode>
                <c:ptCount val="95"/>
                <c:pt idx="0">
                  <c:v>2.6424E-4</c:v>
                </c:pt>
                <c:pt idx="1">
                  <c:v>-1.3454499999999999E-4</c:v>
                </c:pt>
                <c:pt idx="2">
                  <c:v>-1.6867900000000001E-3</c:v>
                </c:pt>
                <c:pt idx="3">
                  <c:v>-1.700195E-3</c:v>
                </c:pt>
                <c:pt idx="4">
                  <c:v>-2.5839700000000001E-3</c:v>
                </c:pt>
                <c:pt idx="5">
                  <c:v>-3.1414300000000002E-3</c:v>
                </c:pt>
                <c:pt idx="6">
                  <c:v>-3.8620249999999998E-3</c:v>
                </c:pt>
                <c:pt idx="7">
                  <c:v>2.6913695000000001E-2</c:v>
                </c:pt>
                <c:pt idx="8">
                  <c:v>3.5436404999999997E-2</c:v>
                </c:pt>
                <c:pt idx="9">
                  <c:v>3.5010939999999997E-2</c:v>
                </c:pt>
                <c:pt idx="10">
                  <c:v>4.1970790000000001E-2</c:v>
                </c:pt>
                <c:pt idx="11">
                  <c:v>2.9474920000000002E-2</c:v>
                </c:pt>
                <c:pt idx="12">
                  <c:v>2.9497990000000002E-2</c:v>
                </c:pt>
                <c:pt idx="13">
                  <c:v>2.8112084999999998E-2</c:v>
                </c:pt>
                <c:pt idx="14">
                  <c:v>4.5459970000000002E-2</c:v>
                </c:pt>
                <c:pt idx="15">
                  <c:v>2.0465500000000001E-4</c:v>
                </c:pt>
                <c:pt idx="16">
                  <c:v>-1.8688050000000001E-3</c:v>
                </c:pt>
                <c:pt idx="17">
                  <c:v>-2.5455550000000001E-3</c:v>
                </c:pt>
                <c:pt idx="18">
                  <c:v>-2.58728E-3</c:v>
                </c:pt>
                <c:pt idx="19">
                  <c:v>5.3638384999999997E-2</c:v>
                </c:pt>
                <c:pt idx="20">
                  <c:v>3.03293E-2</c:v>
                </c:pt>
                <c:pt idx="21">
                  <c:v>3.7117625000000001E-2</c:v>
                </c:pt>
                <c:pt idx="22">
                  <c:v>3.0336470000000001E-2</c:v>
                </c:pt>
                <c:pt idx="23">
                  <c:v>3.4618274999999997E-2</c:v>
                </c:pt>
                <c:pt idx="24">
                  <c:v>3.5587460000000001E-2</c:v>
                </c:pt>
                <c:pt idx="25">
                  <c:v>2.8141454999999999E-2</c:v>
                </c:pt>
                <c:pt idx="26">
                  <c:v>3.6862649999999997E-2</c:v>
                </c:pt>
                <c:pt idx="27">
                  <c:v>4.0026355E-2</c:v>
                </c:pt>
                <c:pt idx="28">
                  <c:v>4.5443654999999999E-2</c:v>
                </c:pt>
                <c:pt idx="29">
                  <c:v>2.0896475000000001E-2</c:v>
                </c:pt>
                <c:pt idx="30">
                  <c:v>1.9675270000000002E-2</c:v>
                </c:pt>
                <c:pt idx="31">
                  <c:v>1.7530185E-2</c:v>
                </c:pt>
                <c:pt idx="32">
                  <c:v>2.105162E-2</c:v>
                </c:pt>
                <c:pt idx="33">
                  <c:v>2.1840700000000001E-2</c:v>
                </c:pt>
                <c:pt idx="34">
                  <c:v>2.7682314999999999E-2</c:v>
                </c:pt>
                <c:pt idx="35">
                  <c:v>4.1442659999999999E-2</c:v>
                </c:pt>
                <c:pt idx="36">
                  <c:v>2.1806735000000001E-2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5B-4DC9-9190-42BACBC7063E}"/>
            </c:ext>
          </c:extLst>
        </c:ser>
        <c:ser>
          <c:idx val="1"/>
          <c:order val="1"/>
          <c:tx>
            <c:v>RMS_Laser</c:v>
          </c:tx>
          <c:spPr>
            <a:ln w="9525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'0°_laser'!$F$23:$F$117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'0°_laser'!$H$23:$H$117</c:f>
              <c:numCache>
                <c:formatCode>0.00_ </c:formatCode>
                <c:ptCount val="95"/>
                <c:pt idx="0">
                  <c:v>1.0730287999999999E-2</c:v>
                </c:pt>
                <c:pt idx="1">
                  <c:v>1.0829559000000001E-2</c:v>
                </c:pt>
                <c:pt idx="2">
                  <c:v>1.0765708000000001E-2</c:v>
                </c:pt>
                <c:pt idx="3">
                  <c:v>1.0669711E-2</c:v>
                </c:pt>
                <c:pt idx="4">
                  <c:v>1.0722337E-2</c:v>
                </c:pt>
                <c:pt idx="5">
                  <c:v>1.0585069000000001E-2</c:v>
                </c:pt>
                <c:pt idx="6">
                  <c:v>1.0962914000000001E-2</c:v>
                </c:pt>
                <c:pt idx="7">
                  <c:v>2.3124295999999999E-2</c:v>
                </c:pt>
                <c:pt idx="8">
                  <c:v>2.2421347000000001E-2</c:v>
                </c:pt>
                <c:pt idx="9">
                  <c:v>2.2111008000000001E-2</c:v>
                </c:pt>
                <c:pt idx="10">
                  <c:v>2.7155051999999999E-2</c:v>
                </c:pt>
                <c:pt idx="11">
                  <c:v>0.17845854</c:v>
                </c:pt>
                <c:pt idx="12">
                  <c:v>0.21558187000000001</c:v>
                </c:pt>
                <c:pt idx="13">
                  <c:v>0.20435607</c:v>
                </c:pt>
                <c:pt idx="14">
                  <c:v>0.11941868</c:v>
                </c:pt>
                <c:pt idx="15">
                  <c:v>1.5057241000000001E-2</c:v>
                </c:pt>
                <c:pt idx="16">
                  <c:v>1.2779209999999999E-2</c:v>
                </c:pt>
                <c:pt idx="17">
                  <c:v>1.2714084E-2</c:v>
                </c:pt>
                <c:pt idx="18">
                  <c:v>2.2457613000000001E-2</c:v>
                </c:pt>
                <c:pt idx="19">
                  <c:v>0.11278708</c:v>
                </c:pt>
                <c:pt idx="20">
                  <c:v>0.18999603000000001</c:v>
                </c:pt>
                <c:pt idx="21">
                  <c:v>0.26378153999999998</c:v>
                </c:pt>
                <c:pt idx="22">
                  <c:v>0.31739207000000003</c:v>
                </c:pt>
                <c:pt idx="23">
                  <c:v>0.36690054</c:v>
                </c:pt>
                <c:pt idx="24">
                  <c:v>0.38039991000000001</c:v>
                </c:pt>
                <c:pt idx="25">
                  <c:v>0.39060917000000001</c:v>
                </c:pt>
                <c:pt idx="26">
                  <c:v>0.37993607000000001</c:v>
                </c:pt>
                <c:pt idx="27">
                  <c:v>0.30102060000000003</c:v>
                </c:pt>
                <c:pt idx="28">
                  <c:v>0.14268281999999999</c:v>
                </c:pt>
                <c:pt idx="29">
                  <c:v>2.80708E-2</c:v>
                </c:pt>
                <c:pt idx="30">
                  <c:v>4.2926242000000003E-2</c:v>
                </c:pt>
                <c:pt idx="31">
                  <c:v>3.332363E-2</c:v>
                </c:pt>
                <c:pt idx="32">
                  <c:v>3.2626283999999998E-2</c:v>
                </c:pt>
                <c:pt idx="33">
                  <c:v>4.2894764000000002E-2</c:v>
                </c:pt>
                <c:pt idx="34">
                  <c:v>5.2259722000000002E-2</c:v>
                </c:pt>
                <c:pt idx="35">
                  <c:v>8.1375424000000002E-2</c:v>
                </c:pt>
                <c:pt idx="36">
                  <c:v>1.5969833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5B-4DC9-9190-42BACBC7063E}"/>
            </c:ext>
          </c:extLst>
        </c:ser>
        <c:ser>
          <c:idx val="2"/>
          <c:order val="2"/>
          <c:tx>
            <c:v>Peak_Laser</c:v>
          </c:tx>
          <c:spPr>
            <a:ln w="9525">
              <a:solidFill>
                <a:srgbClr val="0070C0"/>
              </a:solidFill>
            </a:ln>
          </c:spPr>
          <c:marker>
            <c:symbol val="triangle"/>
            <c:size val="7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'0°_laser'!$F$23:$F$117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'0°_laser'!$I$23:$I$117</c:f>
              <c:numCache>
                <c:formatCode>0.00_ </c:formatCode>
                <c:ptCount val="95"/>
                <c:pt idx="0">
                  <c:v>5.1564869999999999E-2</c:v>
                </c:pt>
                <c:pt idx="1">
                  <c:v>4.7070439999999998E-2</c:v>
                </c:pt>
                <c:pt idx="2">
                  <c:v>5.6040230000000003E-2</c:v>
                </c:pt>
                <c:pt idx="3">
                  <c:v>5.428504E-2</c:v>
                </c:pt>
                <c:pt idx="4">
                  <c:v>5.3697290000000002E-2</c:v>
                </c:pt>
                <c:pt idx="5">
                  <c:v>5.5439509999999997E-2</c:v>
                </c:pt>
                <c:pt idx="6">
                  <c:v>5.8035400000000001E-2</c:v>
                </c:pt>
                <c:pt idx="7">
                  <c:v>4.6737260000000003E-2</c:v>
                </c:pt>
                <c:pt idx="8">
                  <c:v>3.330984E-2</c:v>
                </c:pt>
                <c:pt idx="9">
                  <c:v>4.3016770000000003E-2</c:v>
                </c:pt>
                <c:pt idx="10">
                  <c:v>4.8645069999999999E-2</c:v>
                </c:pt>
                <c:pt idx="11">
                  <c:v>0.24049681000000001</c:v>
                </c:pt>
                <c:pt idx="12">
                  <c:v>0.31858867000000002</c:v>
                </c:pt>
                <c:pt idx="13">
                  <c:v>0.28588247999999999</c:v>
                </c:pt>
                <c:pt idx="14">
                  <c:v>0.17661271000000001</c:v>
                </c:pt>
                <c:pt idx="15">
                  <c:v>5.9331340000000003E-2</c:v>
                </c:pt>
                <c:pt idx="16">
                  <c:v>5.9968260000000002E-2</c:v>
                </c:pt>
                <c:pt idx="17">
                  <c:v>6.4258460000000003E-2</c:v>
                </c:pt>
                <c:pt idx="18">
                  <c:v>8.9755210000000002E-2</c:v>
                </c:pt>
                <c:pt idx="19">
                  <c:v>0.19038788000000001</c:v>
                </c:pt>
                <c:pt idx="20">
                  <c:v>0.27610204999999999</c:v>
                </c:pt>
                <c:pt idx="21">
                  <c:v>0.43116739999999998</c:v>
                </c:pt>
                <c:pt idx="22">
                  <c:v>0.46600571000000002</c:v>
                </c:pt>
                <c:pt idx="23">
                  <c:v>0.54805409999999999</c:v>
                </c:pt>
                <c:pt idx="24">
                  <c:v>0.55318973000000005</c:v>
                </c:pt>
                <c:pt idx="25">
                  <c:v>0.55031574000000005</c:v>
                </c:pt>
                <c:pt idx="26">
                  <c:v>0.55598535000000004</c:v>
                </c:pt>
                <c:pt idx="27">
                  <c:v>0.47502993999999998</c:v>
                </c:pt>
                <c:pt idx="28">
                  <c:v>0.21390534</c:v>
                </c:pt>
                <c:pt idx="29">
                  <c:v>9.0793700000000005E-2</c:v>
                </c:pt>
                <c:pt idx="30">
                  <c:v>0.23525610999999999</c:v>
                </c:pt>
                <c:pt idx="31">
                  <c:v>0.14898828</c:v>
                </c:pt>
                <c:pt idx="32">
                  <c:v>0.11532341</c:v>
                </c:pt>
                <c:pt idx="33">
                  <c:v>0.24869125</c:v>
                </c:pt>
                <c:pt idx="34">
                  <c:v>0.24235402</c:v>
                </c:pt>
                <c:pt idx="35">
                  <c:v>0.24145533</c:v>
                </c:pt>
                <c:pt idx="36">
                  <c:v>2.3419612000000001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5B-4DC9-9190-42BACBC7063E}"/>
            </c:ext>
          </c:extLst>
        </c:ser>
        <c:ser>
          <c:idx val="3"/>
          <c:order val="3"/>
          <c:tx>
            <c:v>Mean_camera</c:v>
          </c:tx>
          <c:spPr>
            <a:ln w="127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 w="3175">
                <a:solidFill>
                  <a:schemeClr val="tx1"/>
                </a:solidFill>
              </a:ln>
            </c:spPr>
          </c:marker>
          <c:xVal>
            <c:numRef>
              <c:f>'0°_영상계측'!$F$23:$F$59</c:f>
              <c:numCache>
                <c:formatCode>0.00_ </c:formatCode>
                <c:ptCount val="37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'0°_영상계측'!$G$23:$G$59</c:f>
              <c:numCache>
                <c:formatCode>0.00_ </c:formatCode>
                <c:ptCount val="37"/>
                <c:pt idx="0">
                  <c:v>-9.9796250000000006E-3</c:v>
                </c:pt>
                <c:pt idx="1">
                  <c:v>-1.0414444E-2</c:v>
                </c:pt>
                <c:pt idx="2">
                  <c:v>-3.6110985999999999E-3</c:v>
                </c:pt>
                <c:pt idx="3">
                  <c:v>-7.8293049000000003E-3</c:v>
                </c:pt>
                <c:pt idx="4">
                  <c:v>4.9224289000000003E-3</c:v>
                </c:pt>
                <c:pt idx="5">
                  <c:v>1.1407924999999999E-2</c:v>
                </c:pt>
                <c:pt idx="6">
                  <c:v>3.3792389999999999E-2</c:v>
                </c:pt>
                <c:pt idx="7">
                  <c:v>2.3166472E-2</c:v>
                </c:pt>
                <c:pt idx="8">
                  <c:v>4.0050664999999999E-2</c:v>
                </c:pt>
                <c:pt idx="9">
                  <c:v>3.7013503000000003E-2</c:v>
                </c:pt>
                <c:pt idx="10">
                  <c:v>3.3361307999999999E-2</c:v>
                </c:pt>
                <c:pt idx="11">
                  <c:v>2.6143919000000002E-2</c:v>
                </c:pt>
                <c:pt idx="12">
                  <c:v>4.3247313000000003E-2</c:v>
                </c:pt>
                <c:pt idx="13">
                  <c:v>3.2476262999999998E-2</c:v>
                </c:pt>
                <c:pt idx="14">
                  <c:v>1.1255645E-2</c:v>
                </c:pt>
                <c:pt idx="15">
                  <c:v>4.2723339999999999E-2</c:v>
                </c:pt>
                <c:pt idx="16">
                  <c:v>5.7887902999999997E-2</c:v>
                </c:pt>
                <c:pt idx="17">
                  <c:v>5.2192284999999998E-2</c:v>
                </c:pt>
                <c:pt idx="18">
                  <c:v>4.4991801999999997E-2</c:v>
                </c:pt>
                <c:pt idx="19">
                  <c:v>3.9773849E-2</c:v>
                </c:pt>
                <c:pt idx="20">
                  <c:v>3.4538161999999997E-2</c:v>
                </c:pt>
                <c:pt idx="21">
                  <c:v>4.1043785999999999E-2</c:v>
                </c:pt>
                <c:pt idx="22">
                  <c:v>3.4078487999999997E-2</c:v>
                </c:pt>
                <c:pt idx="23">
                  <c:v>5.7289913999999997E-2</c:v>
                </c:pt>
                <c:pt idx="24">
                  <c:v>5.4860667000000002E-2</c:v>
                </c:pt>
                <c:pt idx="25">
                  <c:v>4.9716738000000003E-2</c:v>
                </c:pt>
                <c:pt idx="26">
                  <c:v>4.6069286000000001E-2</c:v>
                </c:pt>
                <c:pt idx="27">
                  <c:v>4.1352698E-2</c:v>
                </c:pt>
                <c:pt idx="28">
                  <c:v>4.3042838E-2</c:v>
                </c:pt>
                <c:pt idx="29">
                  <c:v>5.0417505000000001E-2</c:v>
                </c:pt>
                <c:pt idx="30">
                  <c:v>4.7191628999999999E-2</c:v>
                </c:pt>
                <c:pt idx="31">
                  <c:v>4.5350224000000001E-2</c:v>
                </c:pt>
                <c:pt idx="32">
                  <c:v>4.2852273000000003E-2</c:v>
                </c:pt>
                <c:pt idx="33">
                  <c:v>4.1747214999999997E-2</c:v>
                </c:pt>
                <c:pt idx="34">
                  <c:v>4.1625426E-2</c:v>
                </c:pt>
                <c:pt idx="35">
                  <c:v>3.7583882999999998E-2</c:v>
                </c:pt>
                <c:pt idx="36">
                  <c:v>0.15262877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5B-4DC9-9190-42BACBC7063E}"/>
            </c:ext>
          </c:extLst>
        </c:ser>
        <c:ser>
          <c:idx val="4"/>
          <c:order val="4"/>
          <c:tx>
            <c:v>RMS_camera</c:v>
          </c:tx>
          <c:spPr>
            <a:ln w="15875">
              <a:solidFill>
                <a:srgbClr val="FF0000"/>
              </a:solidFill>
            </a:ln>
          </c:spPr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'0°_영상계측'!$F$23:$F$59</c:f>
              <c:numCache>
                <c:formatCode>0.00_ </c:formatCode>
                <c:ptCount val="37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'0°_영상계측'!$H$23:$H$59</c:f>
              <c:numCache>
                <c:formatCode>0.00_ </c:formatCode>
                <c:ptCount val="37"/>
                <c:pt idx="0">
                  <c:v>1.9023435999999999E-3</c:v>
                </c:pt>
                <c:pt idx="1">
                  <c:v>2.5673032E-3</c:v>
                </c:pt>
                <c:pt idx="2">
                  <c:v>2.7012258000000001E-3</c:v>
                </c:pt>
                <c:pt idx="3">
                  <c:v>2.7917312000000001E-3</c:v>
                </c:pt>
                <c:pt idx="4">
                  <c:v>2.2054445000000002E-3</c:v>
                </c:pt>
                <c:pt idx="5">
                  <c:v>2.8663235999999998E-3</c:v>
                </c:pt>
                <c:pt idx="6">
                  <c:v>4.0244197999999998E-3</c:v>
                </c:pt>
                <c:pt idx="7">
                  <c:v>1.5241456E-2</c:v>
                </c:pt>
                <c:pt idx="8">
                  <c:v>1.4474986E-2</c:v>
                </c:pt>
                <c:pt idx="9">
                  <c:v>1.1906673E-2</c:v>
                </c:pt>
                <c:pt idx="10">
                  <c:v>1.6967098999999999E-2</c:v>
                </c:pt>
                <c:pt idx="11">
                  <c:v>0.18604225999999999</c:v>
                </c:pt>
                <c:pt idx="12">
                  <c:v>0.21565400000000001</c:v>
                </c:pt>
                <c:pt idx="13">
                  <c:v>0.18363723000000001</c:v>
                </c:pt>
                <c:pt idx="14">
                  <c:v>8.4309050999999996E-2</c:v>
                </c:pt>
                <c:pt idx="15">
                  <c:v>1.0499578000000001E-2</c:v>
                </c:pt>
                <c:pt idx="16">
                  <c:v>9.1675491999999997E-3</c:v>
                </c:pt>
                <c:pt idx="17">
                  <c:v>1.0882966000000001E-2</c:v>
                </c:pt>
                <c:pt idx="18">
                  <c:v>2.0994087000000002E-2</c:v>
                </c:pt>
                <c:pt idx="19">
                  <c:v>0.11031813</c:v>
                </c:pt>
                <c:pt idx="20">
                  <c:v>0.19369696</c:v>
                </c:pt>
                <c:pt idx="21">
                  <c:v>0.27561403000000001</c:v>
                </c:pt>
                <c:pt idx="22">
                  <c:v>0.32565922000000003</c:v>
                </c:pt>
                <c:pt idx="23">
                  <c:v>0.36530096000000001</c:v>
                </c:pt>
                <c:pt idx="24">
                  <c:v>0.38605592999999999</c:v>
                </c:pt>
                <c:pt idx="25">
                  <c:v>0.39929712000000001</c:v>
                </c:pt>
                <c:pt idx="26">
                  <c:v>0.38508576999999999</c:v>
                </c:pt>
                <c:pt idx="27">
                  <c:v>0.26745254000000002</c:v>
                </c:pt>
                <c:pt idx="28">
                  <c:v>0.12383767</c:v>
                </c:pt>
                <c:pt idx="29">
                  <c:v>3.3204270000000001E-2</c:v>
                </c:pt>
                <c:pt idx="30">
                  <c:v>2.9497018999999999E-2</c:v>
                </c:pt>
                <c:pt idx="31">
                  <c:v>3.5971905999999998E-2</c:v>
                </c:pt>
                <c:pt idx="32">
                  <c:v>2.7810944000000001E-2</c:v>
                </c:pt>
                <c:pt idx="33">
                  <c:v>3.8933448000000002E-2</c:v>
                </c:pt>
                <c:pt idx="34">
                  <c:v>5.1420489999999999E-2</c:v>
                </c:pt>
                <c:pt idx="35">
                  <c:v>5.0628702999999997E-2</c:v>
                </c:pt>
                <c:pt idx="36">
                  <c:v>1.2075731999999999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5B-4DC9-9190-42BACBC7063E}"/>
            </c:ext>
          </c:extLst>
        </c:ser>
        <c:ser>
          <c:idx val="5"/>
          <c:order val="5"/>
          <c:tx>
            <c:v>Peak_camera</c:v>
          </c:tx>
          <c:spPr>
            <a:ln w="12700">
              <a:solidFill>
                <a:srgbClr val="0070C0"/>
              </a:solidFill>
            </a:ln>
          </c:spPr>
          <c:marker>
            <c:symbol val="triangle"/>
            <c:size val="7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'0°_영상계측'!$F$23:$F$59</c:f>
              <c:numCache>
                <c:formatCode>0.00_ </c:formatCode>
                <c:ptCount val="37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'0°_영상계측'!$I$23:$I$59</c:f>
              <c:numCache>
                <c:formatCode>0.00_ </c:formatCode>
                <c:ptCount val="37"/>
                <c:pt idx="0">
                  <c:v>3.5670718999999997E-2</c:v>
                </c:pt>
                <c:pt idx="1">
                  <c:v>4.0237040000000002E-2</c:v>
                </c:pt>
                <c:pt idx="2">
                  <c:v>1.9915904000000002E-2</c:v>
                </c:pt>
                <c:pt idx="3">
                  <c:v>3.1358105999999997E-2</c:v>
                </c:pt>
                <c:pt idx="4">
                  <c:v>3.1657083999999999E-3</c:v>
                </c:pt>
                <c:pt idx="5">
                  <c:v>5.2497679999999997E-4</c:v>
                </c:pt>
                <c:pt idx="6">
                  <c:v>-1.9529029999999999E-2</c:v>
                </c:pt>
                <c:pt idx="7">
                  <c:v>2.6477180999999999E-2</c:v>
                </c:pt>
                <c:pt idx="8">
                  <c:v>2.4646819E-2</c:v>
                </c:pt>
                <c:pt idx="9">
                  <c:v>5.8193584000000003E-3</c:v>
                </c:pt>
                <c:pt idx="10">
                  <c:v>1.5376725000000001E-2</c:v>
                </c:pt>
                <c:pt idx="11">
                  <c:v>0.24760784</c:v>
                </c:pt>
                <c:pt idx="12">
                  <c:v>0.27148805999999998</c:v>
                </c:pt>
                <c:pt idx="13">
                  <c:v>0.24705225</c:v>
                </c:pt>
                <c:pt idx="14">
                  <c:v>0.15400899000000001</c:v>
                </c:pt>
                <c:pt idx="15">
                  <c:v>-1.1191107E-2</c:v>
                </c:pt>
                <c:pt idx="16">
                  <c:v>-2.7188548E-2</c:v>
                </c:pt>
                <c:pt idx="17">
                  <c:v>-1.6877379000000001E-2</c:v>
                </c:pt>
                <c:pt idx="18">
                  <c:v>1.484029E-3</c:v>
                </c:pt>
                <c:pt idx="19">
                  <c:v>0.15638346</c:v>
                </c:pt>
                <c:pt idx="20">
                  <c:v>0.25817052000000001</c:v>
                </c:pt>
                <c:pt idx="21">
                  <c:v>0.40544076000000001</c:v>
                </c:pt>
                <c:pt idx="22">
                  <c:v>0.45829259</c:v>
                </c:pt>
                <c:pt idx="23">
                  <c:v>0.50323309000000005</c:v>
                </c:pt>
                <c:pt idx="24">
                  <c:v>0.52106476000000002</c:v>
                </c:pt>
                <c:pt idx="25">
                  <c:v>0.56544329000000004</c:v>
                </c:pt>
                <c:pt idx="26">
                  <c:v>0.55148235999999995</c:v>
                </c:pt>
                <c:pt idx="27">
                  <c:v>0.42795164000000002</c:v>
                </c:pt>
                <c:pt idx="28">
                  <c:v>0.15586795000000001</c:v>
                </c:pt>
                <c:pt idx="29">
                  <c:v>4.6651999999999999E-2</c:v>
                </c:pt>
                <c:pt idx="30">
                  <c:v>4.7953128999999997E-2</c:v>
                </c:pt>
                <c:pt idx="31">
                  <c:v>5.7113886000000003E-2</c:v>
                </c:pt>
                <c:pt idx="32">
                  <c:v>3.4978196000000003E-2</c:v>
                </c:pt>
                <c:pt idx="33">
                  <c:v>6.5313640000000006E-2</c:v>
                </c:pt>
                <c:pt idx="34">
                  <c:v>0.12478549</c:v>
                </c:pt>
                <c:pt idx="35">
                  <c:v>0.14789300999999999</c:v>
                </c:pt>
                <c:pt idx="36">
                  <c:v>2.0921324000000001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5B-4DC9-9190-42BACBC70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49792"/>
        <c:axId val="210050368"/>
      </c:scatterChart>
      <c:valAx>
        <c:axId val="210049792"/>
        <c:scaling>
          <c:orientation val="minMax"/>
          <c:max val="8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velocity (m/s)</a:t>
                </a:r>
              </a:p>
            </c:rich>
          </c:tx>
          <c:layout>
            <c:manualLayout>
              <c:xMode val="edge"/>
              <c:yMode val="edge"/>
              <c:x val="0.43203934459648824"/>
              <c:y val="0.9060150375939880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210050368"/>
        <c:crossesAt val="-100"/>
        <c:crossBetween val="midCat"/>
        <c:majorUnit val="1"/>
        <c:minorUnit val="1"/>
      </c:valAx>
      <c:valAx>
        <c:axId val="210050368"/>
        <c:scaling>
          <c:orientation val="minMax"/>
          <c:max val="2"/>
          <c:min val="-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Displacement (cm)</a:t>
                </a:r>
              </a:p>
            </c:rich>
          </c:tx>
          <c:layout>
            <c:manualLayout>
              <c:xMode val="edge"/>
              <c:yMode val="edge"/>
              <c:x val="1.2135922330097084E-2"/>
              <c:y val="0.26691729323308394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210049792"/>
        <c:crosses val="autoZero"/>
        <c:crossBetween val="midCat"/>
        <c:majorUnit val="0.5"/>
        <c:minorUnit val="0.25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235147330721592"/>
          <c:y val="6.8922305764411024E-2"/>
          <c:w val="0.16396225686898391"/>
          <c:h val="0.314708661417322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0255" r="0.75000000000000255" t="1" header="0.51200000000000001" footer="0.5120000000000000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06811650025191"/>
          <c:y val="5.6390977443609124E-2"/>
          <c:w val="0.83737963319605624"/>
          <c:h val="0.77067669172932363"/>
        </c:manualLayout>
      </c:layout>
      <c:scatterChart>
        <c:scatterStyle val="lineMarker"/>
        <c:varyColors val="0"/>
        <c:ser>
          <c:idx val="0"/>
          <c:order val="0"/>
          <c:tx>
            <c:v>Mean_camera2</c:v>
          </c:tx>
          <c:spPr>
            <a:ln w="9525">
              <a:solidFill>
                <a:srgbClr val="000000"/>
              </a:solidFill>
              <a:prstDash val="solid"/>
            </a:ln>
          </c:spPr>
          <c:marker>
            <c:symbol val="circle"/>
            <c:size val="7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'0°_영상계측_sub'!$B$23:$B$117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'0°_영상계측_sub'!$C$23:$C$117</c:f>
              <c:numCache>
                <c:formatCode>0.00_ </c:formatCode>
                <c:ptCount val="95"/>
                <c:pt idx="0">
                  <c:v>5.6799156999999996E-3</c:v>
                </c:pt>
                <c:pt idx="1">
                  <c:v>5.0557948999999996E-3</c:v>
                </c:pt>
                <c:pt idx="2">
                  <c:v>-2.4688697000000001E-3</c:v>
                </c:pt>
                <c:pt idx="3">
                  <c:v>-4.1169157999999999E-3</c:v>
                </c:pt>
                <c:pt idx="4">
                  <c:v>-9.7977099999999994E-4</c:v>
                </c:pt>
                <c:pt idx="5">
                  <c:v>4.6381868000000001E-3</c:v>
                </c:pt>
                <c:pt idx="6">
                  <c:v>-4.7005711000000002E-3</c:v>
                </c:pt>
                <c:pt idx="7">
                  <c:v>7.0867552000000002E-3</c:v>
                </c:pt>
                <c:pt idx="8">
                  <c:v>4.0124128000000001E-5</c:v>
                </c:pt>
                <c:pt idx="9">
                  <c:v>-1.6793667000000001E-3</c:v>
                </c:pt>
                <c:pt idx="10">
                  <c:v>-3.0792218999999999E-3</c:v>
                </c:pt>
                <c:pt idx="11">
                  <c:v>1.9651307E-2</c:v>
                </c:pt>
                <c:pt idx="12">
                  <c:v>1.4812629000000001E-2</c:v>
                </c:pt>
                <c:pt idx="13">
                  <c:v>2.1497289999999999E-2</c:v>
                </c:pt>
                <c:pt idx="14">
                  <c:v>3.4105898000000003E-2</c:v>
                </c:pt>
                <c:pt idx="15">
                  <c:v>1.2788806999999999E-2</c:v>
                </c:pt>
                <c:pt idx="16">
                  <c:v>4.4263074000000001E-3</c:v>
                </c:pt>
                <c:pt idx="17">
                  <c:v>5.3239215999999999E-3</c:v>
                </c:pt>
                <c:pt idx="18">
                  <c:v>8.3737907999999993E-3</c:v>
                </c:pt>
                <c:pt idx="19">
                  <c:v>1.8347019999999999E-2</c:v>
                </c:pt>
                <c:pt idx="20">
                  <c:v>3.4480812E-2</c:v>
                </c:pt>
                <c:pt idx="21">
                  <c:v>2.932558E-2</c:v>
                </c:pt>
                <c:pt idx="22">
                  <c:v>3.1465686999999999E-2</c:v>
                </c:pt>
                <c:pt idx="23">
                  <c:v>2.5995951E-2</c:v>
                </c:pt>
                <c:pt idx="24">
                  <c:v>2.7556408000000001E-2</c:v>
                </c:pt>
                <c:pt idx="25">
                  <c:v>2.7310866999999999E-2</c:v>
                </c:pt>
                <c:pt idx="26">
                  <c:v>3.9345045000000002E-2</c:v>
                </c:pt>
                <c:pt idx="27">
                  <c:v>3.7841151000000003E-2</c:v>
                </c:pt>
                <c:pt idx="28">
                  <c:v>3.5509776999999999E-2</c:v>
                </c:pt>
                <c:pt idx="29">
                  <c:v>3.4363233E-2</c:v>
                </c:pt>
                <c:pt idx="30">
                  <c:v>3.2484106999999998E-2</c:v>
                </c:pt>
                <c:pt idx="31">
                  <c:v>3.2621214000000003E-2</c:v>
                </c:pt>
                <c:pt idx="32">
                  <c:v>3.2525708E-2</c:v>
                </c:pt>
                <c:pt idx="33">
                  <c:v>3.5182070000000003E-2</c:v>
                </c:pt>
                <c:pt idx="34">
                  <c:v>3.5370285000000001E-2</c:v>
                </c:pt>
                <c:pt idx="35">
                  <c:v>3.6568871000000003E-2</c:v>
                </c:pt>
                <c:pt idx="36">
                  <c:v>4.0830828999999999E-3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B9-44D5-8920-4CAA1EF81DA9}"/>
            </c:ext>
          </c:extLst>
        </c:ser>
        <c:ser>
          <c:idx val="1"/>
          <c:order val="1"/>
          <c:tx>
            <c:v>RMS_camera2</c:v>
          </c:tx>
          <c:spPr>
            <a:ln w="9525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'0°_영상계측_sub'!$B$23:$B$117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'0°_영상계측_sub'!$D$23:$D$117</c:f>
              <c:numCache>
                <c:formatCode>0.00_ </c:formatCode>
                <c:ptCount val="95"/>
                <c:pt idx="0">
                  <c:v>1.2902032E-3</c:v>
                </c:pt>
                <c:pt idx="1">
                  <c:v>3.1864638999999999E-3</c:v>
                </c:pt>
                <c:pt idx="2">
                  <c:v>2.1555580000000001E-3</c:v>
                </c:pt>
                <c:pt idx="3">
                  <c:v>3.8691482999999999E-3</c:v>
                </c:pt>
                <c:pt idx="4">
                  <c:v>2.4706098000000002E-3</c:v>
                </c:pt>
                <c:pt idx="5">
                  <c:v>3.9602515999999999E-3</c:v>
                </c:pt>
                <c:pt idx="6">
                  <c:v>7.8895692999999996E-3</c:v>
                </c:pt>
                <c:pt idx="7">
                  <c:v>0.17832284000000001</c:v>
                </c:pt>
                <c:pt idx="8">
                  <c:v>0.25932941999999998</c:v>
                </c:pt>
                <c:pt idx="9">
                  <c:v>0.24644916</c:v>
                </c:pt>
                <c:pt idx="10">
                  <c:v>0.12004565</c:v>
                </c:pt>
                <c:pt idx="11">
                  <c:v>1.9884255999999999E-2</c:v>
                </c:pt>
                <c:pt idx="12">
                  <c:v>1.8620463E-2</c:v>
                </c:pt>
                <c:pt idx="13">
                  <c:v>2.0117161000000001E-2</c:v>
                </c:pt>
                <c:pt idx="14">
                  <c:v>2.3749678999999999E-2</c:v>
                </c:pt>
                <c:pt idx="15">
                  <c:v>1.8096832E-2</c:v>
                </c:pt>
                <c:pt idx="16">
                  <c:v>1.5097493E-2</c:v>
                </c:pt>
                <c:pt idx="17">
                  <c:v>1.0754809000000001E-2</c:v>
                </c:pt>
                <c:pt idx="18">
                  <c:v>1.7359125E-2</c:v>
                </c:pt>
                <c:pt idx="19">
                  <c:v>2.5139989000000001E-2</c:v>
                </c:pt>
                <c:pt idx="20">
                  <c:v>3.1569456000000003E-2</c:v>
                </c:pt>
                <c:pt idx="21">
                  <c:v>3.2560750999999999E-2</c:v>
                </c:pt>
                <c:pt idx="22">
                  <c:v>3.7686989999999997E-2</c:v>
                </c:pt>
                <c:pt idx="23">
                  <c:v>5.5934284000000001E-2</c:v>
                </c:pt>
                <c:pt idx="24">
                  <c:v>4.9749333999999999E-2</c:v>
                </c:pt>
                <c:pt idx="25">
                  <c:v>5.1547652999999999E-2</c:v>
                </c:pt>
                <c:pt idx="26">
                  <c:v>5.2842426999999997E-2</c:v>
                </c:pt>
                <c:pt idx="27">
                  <c:v>5.2224266999999998E-2</c:v>
                </c:pt>
                <c:pt idx="28">
                  <c:v>5.3432520999999997E-2</c:v>
                </c:pt>
                <c:pt idx="29">
                  <c:v>5.2781771999999998E-2</c:v>
                </c:pt>
                <c:pt idx="30">
                  <c:v>7.3706563000000003E-2</c:v>
                </c:pt>
                <c:pt idx="31">
                  <c:v>6.1760656999999997E-2</c:v>
                </c:pt>
                <c:pt idx="32">
                  <c:v>7.2051279999999995E-2</c:v>
                </c:pt>
                <c:pt idx="33">
                  <c:v>6.3863346000000001E-2</c:v>
                </c:pt>
                <c:pt idx="34">
                  <c:v>0.11228941000000001</c:v>
                </c:pt>
                <c:pt idx="35">
                  <c:v>9.6371915000000002E-2</c:v>
                </c:pt>
                <c:pt idx="36">
                  <c:v>0.10442685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B9-44D5-8920-4CAA1EF81DA9}"/>
            </c:ext>
          </c:extLst>
        </c:ser>
        <c:ser>
          <c:idx val="2"/>
          <c:order val="2"/>
          <c:tx>
            <c:v>Peak_camera2</c:v>
          </c:tx>
          <c:spPr>
            <a:ln w="9525">
              <a:solidFill>
                <a:srgbClr val="0070C0"/>
              </a:solidFill>
            </a:ln>
          </c:spPr>
          <c:marker>
            <c:symbol val="triangle"/>
            <c:size val="7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'0°_영상계측_sub'!$B$23:$B$117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'0°_영상계측_sub'!$E$23:$E$117</c:f>
              <c:numCache>
                <c:formatCode>0.00_ </c:formatCode>
                <c:ptCount val="95"/>
                <c:pt idx="0">
                  <c:v>4.2714192000000003E-3</c:v>
                </c:pt>
                <c:pt idx="1">
                  <c:v>8.9649025999999996E-3</c:v>
                </c:pt>
                <c:pt idx="2">
                  <c:v>1.2457698E-2</c:v>
                </c:pt>
                <c:pt idx="3">
                  <c:v>2.0276345000000001E-2</c:v>
                </c:pt>
                <c:pt idx="4">
                  <c:v>1.0211947000000001E-2</c:v>
                </c:pt>
                <c:pt idx="5">
                  <c:v>1.0606496E-2</c:v>
                </c:pt>
                <c:pt idx="6">
                  <c:v>2.9836721E-2</c:v>
                </c:pt>
                <c:pt idx="7">
                  <c:v>0.25753047000000001</c:v>
                </c:pt>
                <c:pt idx="8">
                  <c:v>0.37301445999999999</c:v>
                </c:pt>
                <c:pt idx="9">
                  <c:v>0.35594627000000001</c:v>
                </c:pt>
                <c:pt idx="10">
                  <c:v>0.20080629</c:v>
                </c:pt>
                <c:pt idx="11">
                  <c:v>5.2582297E-2</c:v>
                </c:pt>
                <c:pt idx="12">
                  <c:v>6.3019836999999995E-2</c:v>
                </c:pt>
                <c:pt idx="13">
                  <c:v>5.8010348000000003E-2</c:v>
                </c:pt>
                <c:pt idx="14">
                  <c:v>6.0327706000000002E-2</c:v>
                </c:pt>
                <c:pt idx="15">
                  <c:v>5.2671133000000002E-2</c:v>
                </c:pt>
                <c:pt idx="16">
                  <c:v>3.9444539000000001E-2</c:v>
                </c:pt>
                <c:pt idx="17">
                  <c:v>2.8714532000000001E-2</c:v>
                </c:pt>
                <c:pt idx="18">
                  <c:v>5.8315288E-2</c:v>
                </c:pt>
                <c:pt idx="19">
                  <c:v>8.6694357E-2</c:v>
                </c:pt>
                <c:pt idx="20">
                  <c:v>8.5090681000000001E-2</c:v>
                </c:pt>
                <c:pt idx="21">
                  <c:v>9.7954346999999997E-2</c:v>
                </c:pt>
                <c:pt idx="22">
                  <c:v>0.12162878000000001</c:v>
                </c:pt>
                <c:pt idx="23">
                  <c:v>0.19758872</c:v>
                </c:pt>
                <c:pt idx="24">
                  <c:v>0.15209594000000001</c:v>
                </c:pt>
                <c:pt idx="25">
                  <c:v>0.17234672000000001</c:v>
                </c:pt>
                <c:pt idx="26">
                  <c:v>0.17416757999999999</c:v>
                </c:pt>
                <c:pt idx="27">
                  <c:v>0.14817506999999999</c:v>
                </c:pt>
                <c:pt idx="28">
                  <c:v>0.16195862999999999</c:v>
                </c:pt>
                <c:pt idx="29">
                  <c:v>0.18032023</c:v>
                </c:pt>
                <c:pt idx="30">
                  <c:v>0.19030138999999999</c:v>
                </c:pt>
                <c:pt idx="31">
                  <c:v>0.14946973</c:v>
                </c:pt>
                <c:pt idx="32">
                  <c:v>0.19835696999999999</c:v>
                </c:pt>
                <c:pt idx="33">
                  <c:v>0.18662782</c:v>
                </c:pt>
                <c:pt idx="34">
                  <c:v>0.31702914999999998</c:v>
                </c:pt>
                <c:pt idx="35">
                  <c:v>0.28471786999999998</c:v>
                </c:pt>
                <c:pt idx="36">
                  <c:v>0.27928410999999997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B9-44D5-8920-4CAA1EF81DA9}"/>
            </c:ext>
          </c:extLst>
        </c:ser>
        <c:ser>
          <c:idx val="3"/>
          <c:order val="3"/>
          <c:tx>
            <c:v>Mean_camera</c:v>
          </c:tx>
          <c:spPr>
            <a:ln w="127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 w="3175">
                <a:solidFill>
                  <a:schemeClr val="tx1"/>
                </a:solidFill>
              </a:ln>
            </c:spPr>
          </c:marker>
          <c:xVal>
            <c:numRef>
              <c:f>'0°_영상계측'!$A$23:$A$59</c:f>
              <c:numCache>
                <c:formatCode>0.00_ </c:formatCode>
                <c:ptCount val="37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'0°_영상계측'!$C$23:$C$59</c:f>
              <c:numCache>
                <c:formatCode>0.00_ </c:formatCode>
                <c:ptCount val="37"/>
                <c:pt idx="0">
                  <c:v>3.503314E-3</c:v>
                </c:pt>
                <c:pt idx="1">
                  <c:v>3.5639408000000001E-3</c:v>
                </c:pt>
                <c:pt idx="2">
                  <c:v>2.0063772999999998E-3</c:v>
                </c:pt>
                <c:pt idx="3">
                  <c:v>3.5363754000000002E-3</c:v>
                </c:pt>
                <c:pt idx="4">
                  <c:v>5.1580126000000002E-3</c:v>
                </c:pt>
                <c:pt idx="5">
                  <c:v>1.4235196E-3</c:v>
                </c:pt>
                <c:pt idx="6">
                  <c:v>-2.9702297999999999E-3</c:v>
                </c:pt>
                <c:pt idx="7">
                  <c:v>-3.9789626999999998E-3</c:v>
                </c:pt>
                <c:pt idx="8">
                  <c:v>-6.3388767E-3</c:v>
                </c:pt>
                <c:pt idx="9">
                  <c:v>-6.4614410999999997E-3</c:v>
                </c:pt>
                <c:pt idx="10">
                  <c:v>-6.3117787000000003E-3</c:v>
                </c:pt>
                <c:pt idx="11">
                  <c:v>-5.3654699999999998E-3</c:v>
                </c:pt>
                <c:pt idx="12">
                  <c:v>-3.7757702000000001E-4</c:v>
                </c:pt>
                <c:pt idx="13">
                  <c:v>3.2019214000000001E-3</c:v>
                </c:pt>
                <c:pt idx="14">
                  <c:v>1.2581765E-2</c:v>
                </c:pt>
                <c:pt idx="15">
                  <c:v>2.9555683000000001E-3</c:v>
                </c:pt>
                <c:pt idx="16">
                  <c:v>-5.1808553000000004E-3</c:v>
                </c:pt>
                <c:pt idx="17">
                  <c:v>-4.5052178E-3</c:v>
                </c:pt>
                <c:pt idx="18">
                  <c:v>-8.1372818000000004E-4</c:v>
                </c:pt>
                <c:pt idx="19">
                  <c:v>5.4199132000000002E-3</c:v>
                </c:pt>
                <c:pt idx="20">
                  <c:v>5.7410674E-3</c:v>
                </c:pt>
                <c:pt idx="21">
                  <c:v>9.0939018999999996E-3</c:v>
                </c:pt>
                <c:pt idx="22">
                  <c:v>1.0403236E-2</c:v>
                </c:pt>
                <c:pt idx="23">
                  <c:v>1.5246272E-2</c:v>
                </c:pt>
                <c:pt idx="24">
                  <c:v>1.8212586999999999E-2</c:v>
                </c:pt>
                <c:pt idx="25">
                  <c:v>1.7075718E-2</c:v>
                </c:pt>
                <c:pt idx="26">
                  <c:v>2.0156729000000002E-2</c:v>
                </c:pt>
                <c:pt idx="27">
                  <c:v>1.7084307999999999E-2</c:v>
                </c:pt>
                <c:pt idx="28">
                  <c:v>1.6853920000000001E-2</c:v>
                </c:pt>
                <c:pt idx="29">
                  <c:v>2.4014407000000002E-2</c:v>
                </c:pt>
                <c:pt idx="30">
                  <c:v>2.3325022000000001E-2</c:v>
                </c:pt>
                <c:pt idx="31">
                  <c:v>2.1760093000000001E-2</c:v>
                </c:pt>
                <c:pt idx="32">
                  <c:v>2.4700842000000001E-2</c:v>
                </c:pt>
                <c:pt idx="33">
                  <c:v>2.5840137999999999E-2</c:v>
                </c:pt>
                <c:pt idx="34">
                  <c:v>2.7739521E-2</c:v>
                </c:pt>
                <c:pt idx="35">
                  <c:v>2.8349516000000002E-2</c:v>
                </c:pt>
                <c:pt idx="36">
                  <c:v>1.5479928E-2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B9-44D5-8920-4CAA1EF81DA9}"/>
            </c:ext>
          </c:extLst>
        </c:ser>
        <c:ser>
          <c:idx val="4"/>
          <c:order val="4"/>
          <c:tx>
            <c:v>RMS_camera</c:v>
          </c:tx>
          <c:spPr>
            <a:ln w="15875">
              <a:solidFill>
                <a:srgbClr val="FF0000"/>
              </a:solidFill>
            </a:ln>
          </c:spPr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'0°_영상계측'!$A$23:$A$59</c:f>
              <c:numCache>
                <c:formatCode>0.00_ </c:formatCode>
                <c:ptCount val="37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'0°_영상계측'!$D$23:$D$59</c:f>
              <c:numCache>
                <c:formatCode>0.00_ </c:formatCode>
                <c:ptCount val="37"/>
                <c:pt idx="0">
                  <c:v>9.7353379000000005E-4</c:v>
                </c:pt>
                <c:pt idx="1">
                  <c:v>1.4469818E-3</c:v>
                </c:pt>
                <c:pt idx="2">
                  <c:v>1.5727255E-3</c:v>
                </c:pt>
                <c:pt idx="3">
                  <c:v>1.6432534E-3</c:v>
                </c:pt>
                <c:pt idx="4">
                  <c:v>1.5940626E-3</c:v>
                </c:pt>
                <c:pt idx="5">
                  <c:v>3.3534584999999999E-3</c:v>
                </c:pt>
                <c:pt idx="6">
                  <c:v>7.0972172000000004E-3</c:v>
                </c:pt>
                <c:pt idx="7">
                  <c:v>0.1714058</c:v>
                </c:pt>
                <c:pt idx="8">
                  <c:v>0.25130608999999998</c:v>
                </c:pt>
                <c:pt idx="9">
                  <c:v>0.23859986999999999</c:v>
                </c:pt>
                <c:pt idx="10">
                  <c:v>0.11674432</c:v>
                </c:pt>
                <c:pt idx="11">
                  <c:v>9.1291198E-3</c:v>
                </c:pt>
                <c:pt idx="12">
                  <c:v>9.8091535000000007E-3</c:v>
                </c:pt>
                <c:pt idx="13">
                  <c:v>1.2047034E-2</c:v>
                </c:pt>
                <c:pt idx="14">
                  <c:v>1.7679210000000001E-2</c:v>
                </c:pt>
                <c:pt idx="15">
                  <c:v>1.8261072E-2</c:v>
                </c:pt>
                <c:pt idx="16">
                  <c:v>1.5076791000000001E-2</c:v>
                </c:pt>
                <c:pt idx="17">
                  <c:v>1.0496337999999999E-2</c:v>
                </c:pt>
                <c:pt idx="18">
                  <c:v>1.6725634E-2</c:v>
                </c:pt>
                <c:pt idx="19">
                  <c:v>2.1456111E-2</c:v>
                </c:pt>
                <c:pt idx="20">
                  <c:v>2.0325587999999999E-2</c:v>
                </c:pt>
                <c:pt idx="21">
                  <c:v>2.6367429000000001E-2</c:v>
                </c:pt>
                <c:pt idx="22">
                  <c:v>3.2924556000000001E-2</c:v>
                </c:pt>
                <c:pt idx="23">
                  <c:v>5.3574245999999999E-2</c:v>
                </c:pt>
                <c:pt idx="24">
                  <c:v>4.6673107999999998E-2</c:v>
                </c:pt>
                <c:pt idx="25">
                  <c:v>4.7494492999999999E-2</c:v>
                </c:pt>
                <c:pt idx="26">
                  <c:v>5.2355799000000001E-2</c:v>
                </c:pt>
                <c:pt idx="27">
                  <c:v>4.9833035999999997E-2</c:v>
                </c:pt>
                <c:pt idx="28">
                  <c:v>5.1598508000000001E-2</c:v>
                </c:pt>
                <c:pt idx="29">
                  <c:v>5.1744999E-2</c:v>
                </c:pt>
                <c:pt idx="30">
                  <c:v>7.2600797999999994E-2</c:v>
                </c:pt>
                <c:pt idx="31">
                  <c:v>6.0966489999999998E-2</c:v>
                </c:pt>
                <c:pt idx="32">
                  <c:v>7.1062149000000005E-2</c:v>
                </c:pt>
                <c:pt idx="33">
                  <c:v>6.3213386999999996E-2</c:v>
                </c:pt>
                <c:pt idx="34">
                  <c:v>0.1075367</c:v>
                </c:pt>
                <c:pt idx="35">
                  <c:v>9.4307579000000002E-2</c:v>
                </c:pt>
                <c:pt idx="36">
                  <c:v>0.13014932000000001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B9-44D5-8920-4CAA1EF81DA9}"/>
            </c:ext>
          </c:extLst>
        </c:ser>
        <c:ser>
          <c:idx val="5"/>
          <c:order val="5"/>
          <c:tx>
            <c:v>Peak_camera</c:v>
          </c:tx>
          <c:spPr>
            <a:ln w="12700">
              <a:solidFill>
                <a:srgbClr val="0070C0"/>
              </a:solidFill>
            </a:ln>
          </c:spPr>
          <c:marker>
            <c:symbol val="triangle"/>
            <c:size val="7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'0°_영상계측'!$A$23:$A$59</c:f>
              <c:numCache>
                <c:formatCode>0.00_ </c:formatCode>
                <c:ptCount val="37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'0°_영상계측'!$E$23:$E$59</c:f>
              <c:numCache>
                <c:formatCode>0.00_ </c:formatCode>
                <c:ptCount val="37"/>
                <c:pt idx="0">
                  <c:v>2.8080294999999998E-3</c:v>
                </c:pt>
                <c:pt idx="1">
                  <c:v>5.3845207999999997E-3</c:v>
                </c:pt>
                <c:pt idx="2">
                  <c:v>5.0903735000000002E-3</c:v>
                </c:pt>
                <c:pt idx="3">
                  <c:v>4.4270713999999996E-3</c:v>
                </c:pt>
                <c:pt idx="4">
                  <c:v>5.5266882999999998E-3</c:v>
                </c:pt>
                <c:pt idx="5">
                  <c:v>9.7368629000000005E-3</c:v>
                </c:pt>
                <c:pt idx="6">
                  <c:v>2.2290884E-2</c:v>
                </c:pt>
                <c:pt idx="7">
                  <c:v>0.25661258999999997</c:v>
                </c:pt>
                <c:pt idx="8">
                  <c:v>0.37560060000000001</c:v>
                </c:pt>
                <c:pt idx="9">
                  <c:v>0.35630405999999998</c:v>
                </c:pt>
                <c:pt idx="10">
                  <c:v>0.19341047</c:v>
                </c:pt>
                <c:pt idx="11">
                  <c:v>3.9317271000000001E-2</c:v>
                </c:pt>
                <c:pt idx="12">
                  <c:v>5.1430577999999998E-2</c:v>
                </c:pt>
                <c:pt idx="13">
                  <c:v>4.1116315000000001E-2</c:v>
                </c:pt>
                <c:pt idx="14">
                  <c:v>4.7532286999999999E-2</c:v>
                </c:pt>
                <c:pt idx="15">
                  <c:v>5.2668430000000002E-2</c:v>
                </c:pt>
                <c:pt idx="16">
                  <c:v>5.3645107999999997E-2</c:v>
                </c:pt>
                <c:pt idx="17">
                  <c:v>4.1858055999999998E-2</c:v>
                </c:pt>
                <c:pt idx="18">
                  <c:v>5.6868613999999998E-2</c:v>
                </c:pt>
                <c:pt idx="19">
                  <c:v>7.9386132999999998E-2</c:v>
                </c:pt>
                <c:pt idx="20">
                  <c:v>7.2429437999999999E-2</c:v>
                </c:pt>
                <c:pt idx="21">
                  <c:v>8.3284037000000005E-2</c:v>
                </c:pt>
                <c:pt idx="22">
                  <c:v>9.4640460999999995E-2</c:v>
                </c:pt>
                <c:pt idx="23">
                  <c:v>0.16913528</c:v>
                </c:pt>
                <c:pt idx="24">
                  <c:v>0.15734540999999999</c:v>
                </c:pt>
                <c:pt idx="25">
                  <c:v>0.13288596</c:v>
                </c:pt>
                <c:pt idx="26">
                  <c:v>0.15409638000000001</c:v>
                </c:pt>
                <c:pt idx="27">
                  <c:v>0.13979902999999999</c:v>
                </c:pt>
                <c:pt idx="28">
                  <c:v>0.14305017</c:v>
                </c:pt>
                <c:pt idx="29">
                  <c:v>0.17389916999999999</c:v>
                </c:pt>
                <c:pt idx="30">
                  <c:v>0.18123033</c:v>
                </c:pt>
                <c:pt idx="31">
                  <c:v>0.14690685000000001</c:v>
                </c:pt>
                <c:pt idx="32">
                  <c:v>0.19340193</c:v>
                </c:pt>
                <c:pt idx="33">
                  <c:v>0.1766219</c:v>
                </c:pt>
                <c:pt idx="34">
                  <c:v>0.30881450999999999</c:v>
                </c:pt>
                <c:pt idx="35">
                  <c:v>0.27828340000000001</c:v>
                </c:pt>
                <c:pt idx="36">
                  <c:v>0.30387252999999997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B9-44D5-8920-4CAA1EF81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49792"/>
        <c:axId val="210050368"/>
      </c:scatterChart>
      <c:valAx>
        <c:axId val="210049792"/>
        <c:scaling>
          <c:orientation val="minMax"/>
          <c:max val="8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velocity (m/s)</a:t>
                </a:r>
              </a:p>
            </c:rich>
          </c:tx>
          <c:layout>
            <c:manualLayout>
              <c:xMode val="edge"/>
              <c:yMode val="edge"/>
              <c:x val="0.43203934459648824"/>
              <c:y val="0.9060150375939880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210050368"/>
        <c:crossesAt val="-100"/>
        <c:crossBetween val="midCat"/>
        <c:majorUnit val="1"/>
        <c:minorUnit val="1"/>
      </c:valAx>
      <c:valAx>
        <c:axId val="210050368"/>
        <c:scaling>
          <c:orientation val="minMax"/>
          <c:max val="2"/>
          <c:min val="-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Displacement (cm)</a:t>
                </a:r>
              </a:p>
            </c:rich>
          </c:tx>
          <c:layout>
            <c:manualLayout>
              <c:xMode val="edge"/>
              <c:yMode val="edge"/>
              <c:x val="1.2135922330097084E-2"/>
              <c:y val="0.26691729323308394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210049792"/>
        <c:crosses val="autoZero"/>
        <c:crossBetween val="midCat"/>
        <c:majorUnit val="0.5"/>
        <c:minorUnit val="0.25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235147330721592"/>
          <c:y val="6.8922305764411024E-2"/>
          <c:w val="0.20698471263092602"/>
          <c:h val="0.3174297498526970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0255" r="0.75000000000000255" t="1" header="0.51200000000000001" footer="0.5120000000000000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06811650025191"/>
          <c:y val="5.6390977443609124E-2"/>
          <c:w val="0.83737963319605624"/>
          <c:h val="0.77067669172932363"/>
        </c:manualLayout>
      </c:layout>
      <c:scatterChart>
        <c:scatterStyle val="lineMarker"/>
        <c:varyColors val="0"/>
        <c:ser>
          <c:idx val="0"/>
          <c:order val="0"/>
          <c:tx>
            <c:v>Mean_camera2</c:v>
          </c:tx>
          <c:spPr>
            <a:ln w="9525">
              <a:solidFill>
                <a:srgbClr val="000000"/>
              </a:solidFill>
              <a:prstDash val="solid"/>
            </a:ln>
          </c:spPr>
          <c:marker>
            <c:symbol val="circle"/>
            <c:size val="7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'0°_영상계측_sub'!$F$23:$F$117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'0°_영상계측_sub'!$G$23:$G$117</c:f>
              <c:numCache>
                <c:formatCode>0.00_ </c:formatCode>
                <c:ptCount val="95"/>
                <c:pt idx="0">
                  <c:v>-5.6197173999999999E-3</c:v>
                </c:pt>
                <c:pt idx="1">
                  <c:v>-7.4445522999999998E-3</c:v>
                </c:pt>
                <c:pt idx="2">
                  <c:v>-1.2594246E-2</c:v>
                </c:pt>
                <c:pt idx="3">
                  <c:v>-2.3125197E-2</c:v>
                </c:pt>
                <c:pt idx="4">
                  <c:v>-7.3749875999999997E-3</c:v>
                </c:pt>
                <c:pt idx="5">
                  <c:v>1.7843576E-2</c:v>
                </c:pt>
                <c:pt idx="6">
                  <c:v>3.0331105000000001E-2</c:v>
                </c:pt>
                <c:pt idx="7">
                  <c:v>4.3785013999999997E-2</c:v>
                </c:pt>
                <c:pt idx="8">
                  <c:v>5.1322877000000003E-2</c:v>
                </c:pt>
                <c:pt idx="9">
                  <c:v>4.8498765999999999E-2</c:v>
                </c:pt>
                <c:pt idx="10">
                  <c:v>4.0694407000000002E-2</c:v>
                </c:pt>
                <c:pt idx="11">
                  <c:v>7.6233205999999998E-2</c:v>
                </c:pt>
                <c:pt idx="12">
                  <c:v>7.2689612000000001E-2</c:v>
                </c:pt>
                <c:pt idx="13">
                  <c:v>6.8555047999999993E-2</c:v>
                </c:pt>
                <c:pt idx="14">
                  <c:v>5.4344178E-2</c:v>
                </c:pt>
                <c:pt idx="15">
                  <c:v>6.2230136999999998E-2</c:v>
                </c:pt>
                <c:pt idx="16">
                  <c:v>7.7009948999999994E-2</c:v>
                </c:pt>
                <c:pt idx="17">
                  <c:v>7.1757590999999996E-2</c:v>
                </c:pt>
                <c:pt idx="18">
                  <c:v>6.3500651000000005E-2</c:v>
                </c:pt>
                <c:pt idx="19">
                  <c:v>6.5555569999999994E-2</c:v>
                </c:pt>
                <c:pt idx="20">
                  <c:v>9.2076303999999998E-2</c:v>
                </c:pt>
                <c:pt idx="21">
                  <c:v>8.4042424000000004E-2</c:v>
                </c:pt>
                <c:pt idx="22">
                  <c:v>7.9578457000000005E-2</c:v>
                </c:pt>
                <c:pt idx="23">
                  <c:v>8.3653851000000001E-2</c:v>
                </c:pt>
                <c:pt idx="24">
                  <c:v>7.1292620000000001E-2</c:v>
                </c:pt>
                <c:pt idx="25">
                  <c:v>7.0453132000000002E-2</c:v>
                </c:pt>
                <c:pt idx="26">
                  <c:v>8.4306406E-2</c:v>
                </c:pt>
                <c:pt idx="27">
                  <c:v>8.7854915000000006E-2</c:v>
                </c:pt>
                <c:pt idx="28">
                  <c:v>8.0366740000000006E-2</c:v>
                </c:pt>
                <c:pt idx="29">
                  <c:v>6.9627579999999994E-2</c:v>
                </c:pt>
                <c:pt idx="30">
                  <c:v>6.6203131999999998E-2</c:v>
                </c:pt>
                <c:pt idx="31">
                  <c:v>6.3462166E-2</c:v>
                </c:pt>
                <c:pt idx="32">
                  <c:v>6.1339250999999997E-2</c:v>
                </c:pt>
                <c:pt idx="33">
                  <c:v>6.0546597000000001E-2</c:v>
                </c:pt>
                <c:pt idx="34">
                  <c:v>5.8657430000000003E-2</c:v>
                </c:pt>
                <c:pt idx="35">
                  <c:v>5.5598839999999997E-2</c:v>
                </c:pt>
                <c:pt idx="36">
                  <c:v>0.26648810000000001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23-4CA1-A8E4-7B5FE4927935}"/>
            </c:ext>
          </c:extLst>
        </c:ser>
        <c:ser>
          <c:idx val="1"/>
          <c:order val="1"/>
          <c:tx>
            <c:v>RMS_camera2</c:v>
          </c:tx>
          <c:spPr>
            <a:ln w="9525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'0°_영상계측_sub'!$F$23:$F$117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'0°_영상계측_sub'!$H$23:$H$117</c:f>
              <c:numCache>
                <c:formatCode>0.00_ </c:formatCode>
                <c:ptCount val="95"/>
                <c:pt idx="0">
                  <c:v>2.6138236000000001E-3</c:v>
                </c:pt>
                <c:pt idx="1">
                  <c:v>5.9941138999999996E-3</c:v>
                </c:pt>
                <c:pt idx="2">
                  <c:v>3.7287466E-3</c:v>
                </c:pt>
                <c:pt idx="3">
                  <c:v>6.0768882E-3</c:v>
                </c:pt>
                <c:pt idx="4">
                  <c:v>3.5028250000000002E-3</c:v>
                </c:pt>
                <c:pt idx="5">
                  <c:v>3.2276848E-3</c:v>
                </c:pt>
                <c:pt idx="6">
                  <c:v>3.4798479000000002E-3</c:v>
                </c:pt>
                <c:pt idx="7">
                  <c:v>1.2205661E-2</c:v>
                </c:pt>
                <c:pt idx="8">
                  <c:v>1.5976252999999999E-2</c:v>
                </c:pt>
                <c:pt idx="9">
                  <c:v>1.2819829E-2</c:v>
                </c:pt>
                <c:pt idx="10">
                  <c:v>1.5394474999999999E-2</c:v>
                </c:pt>
                <c:pt idx="11">
                  <c:v>0.21625222</c:v>
                </c:pt>
                <c:pt idx="12">
                  <c:v>0.2399425</c:v>
                </c:pt>
                <c:pt idx="13">
                  <c:v>0.21567555999999999</c:v>
                </c:pt>
                <c:pt idx="14">
                  <c:v>9.6294228999999995E-2</c:v>
                </c:pt>
                <c:pt idx="15">
                  <c:v>1.1306752E-2</c:v>
                </c:pt>
                <c:pt idx="16">
                  <c:v>1.0434453999999999E-2</c:v>
                </c:pt>
                <c:pt idx="17">
                  <c:v>1.2571072000000001E-2</c:v>
                </c:pt>
                <c:pt idx="18">
                  <c:v>2.3182746000000001E-2</c:v>
                </c:pt>
                <c:pt idx="19">
                  <c:v>0.12186646</c:v>
                </c:pt>
                <c:pt idx="20">
                  <c:v>0.22410060000000001</c:v>
                </c:pt>
                <c:pt idx="21">
                  <c:v>0.28937418999999998</c:v>
                </c:pt>
                <c:pt idx="22">
                  <c:v>0.34415521999999998</c:v>
                </c:pt>
                <c:pt idx="23">
                  <c:v>0.38201273000000002</c:v>
                </c:pt>
                <c:pt idx="24">
                  <c:v>0.40478499000000001</c:v>
                </c:pt>
                <c:pt idx="25">
                  <c:v>0.41973565000000002</c:v>
                </c:pt>
                <c:pt idx="26">
                  <c:v>0.40366173999999999</c:v>
                </c:pt>
                <c:pt idx="27">
                  <c:v>0.28596758999999999</c:v>
                </c:pt>
                <c:pt idx="28">
                  <c:v>0.13403437000000001</c:v>
                </c:pt>
                <c:pt idx="29">
                  <c:v>4.0102642000000001E-2</c:v>
                </c:pt>
                <c:pt idx="30">
                  <c:v>3.5911356999999998E-2</c:v>
                </c:pt>
                <c:pt idx="31">
                  <c:v>4.2848627E-2</c:v>
                </c:pt>
                <c:pt idx="32">
                  <c:v>3.2030762999999997E-2</c:v>
                </c:pt>
                <c:pt idx="33">
                  <c:v>4.4141107999999998E-2</c:v>
                </c:pt>
                <c:pt idx="34">
                  <c:v>5.5574317999999998E-2</c:v>
                </c:pt>
                <c:pt idx="35">
                  <c:v>5.4559859000000002E-2</c:v>
                </c:pt>
                <c:pt idx="36">
                  <c:v>1.0930422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23-4CA1-A8E4-7B5FE4927935}"/>
            </c:ext>
          </c:extLst>
        </c:ser>
        <c:ser>
          <c:idx val="2"/>
          <c:order val="2"/>
          <c:tx>
            <c:v>Peak_camera2</c:v>
          </c:tx>
          <c:spPr>
            <a:ln w="9525">
              <a:solidFill>
                <a:srgbClr val="0070C0"/>
              </a:solidFill>
            </a:ln>
          </c:spPr>
          <c:marker>
            <c:symbol val="triangle"/>
            <c:size val="7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'0°_영상계측_sub'!$F$23:$F$117</c:f>
              <c:numCache>
                <c:formatCode>0.00_ </c:formatCode>
                <c:ptCount val="95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'0°_영상계측_sub'!$I$23:$I$117</c:f>
              <c:numCache>
                <c:formatCode>0.00_ </c:formatCode>
                <c:ptCount val="95"/>
                <c:pt idx="0">
                  <c:v>2.7136693999999999E-2</c:v>
                </c:pt>
                <c:pt idx="1">
                  <c:v>3.8526447999999998E-2</c:v>
                </c:pt>
                <c:pt idx="2">
                  <c:v>5.0677817999999999E-2</c:v>
                </c:pt>
                <c:pt idx="3">
                  <c:v>8.4657985000000005E-2</c:v>
                </c:pt>
                <c:pt idx="4">
                  <c:v>3.3815677000000002E-2</c:v>
                </c:pt>
                <c:pt idx="5">
                  <c:v>-4.6436554000000001E-3</c:v>
                </c:pt>
                <c:pt idx="6">
                  <c:v>-2.0544049000000002E-2</c:v>
                </c:pt>
                <c:pt idx="7">
                  <c:v>1.2276253000000001E-2</c:v>
                </c:pt>
                <c:pt idx="8">
                  <c:v>4.0803630999999996E-3</c:v>
                </c:pt>
                <c:pt idx="9">
                  <c:v>1.0115694000000001E-3</c:v>
                </c:pt>
                <c:pt idx="10">
                  <c:v>7.4453506000000001E-3</c:v>
                </c:pt>
                <c:pt idx="11">
                  <c:v>0.26150233000000001</c:v>
                </c:pt>
                <c:pt idx="12">
                  <c:v>0.26635208999999999</c:v>
                </c:pt>
                <c:pt idx="13">
                  <c:v>0.27687484000000001</c:v>
                </c:pt>
                <c:pt idx="14">
                  <c:v>0.13718950999999999</c:v>
                </c:pt>
                <c:pt idx="15">
                  <c:v>-2.4010545000000001E-2</c:v>
                </c:pt>
                <c:pt idx="16">
                  <c:v>-4.1998988000000001E-2</c:v>
                </c:pt>
                <c:pt idx="17">
                  <c:v>-3.7312046000000001E-2</c:v>
                </c:pt>
                <c:pt idx="18">
                  <c:v>-1.5107071999999999E-2</c:v>
                </c:pt>
                <c:pt idx="19">
                  <c:v>0.17634648</c:v>
                </c:pt>
                <c:pt idx="20">
                  <c:v>0.25332712000000002</c:v>
                </c:pt>
                <c:pt idx="21">
                  <c:v>0.33192695999999999</c:v>
                </c:pt>
                <c:pt idx="22">
                  <c:v>0.42008792</c:v>
                </c:pt>
                <c:pt idx="23">
                  <c:v>0.47140567</c:v>
                </c:pt>
                <c:pt idx="24">
                  <c:v>0.51624017</c:v>
                </c:pt>
                <c:pt idx="25">
                  <c:v>0.54454053000000002</c:v>
                </c:pt>
                <c:pt idx="26">
                  <c:v>0.52005049000000003</c:v>
                </c:pt>
                <c:pt idx="27">
                  <c:v>0.31604342000000002</c:v>
                </c:pt>
                <c:pt idx="28">
                  <c:v>0.15837143000000001</c:v>
                </c:pt>
                <c:pt idx="29">
                  <c:v>3.7701683999999999E-2</c:v>
                </c:pt>
                <c:pt idx="30">
                  <c:v>3.7256530000000003E-2</c:v>
                </c:pt>
                <c:pt idx="31">
                  <c:v>4.7123682E-2</c:v>
                </c:pt>
                <c:pt idx="32">
                  <c:v>2.9037555E-2</c:v>
                </c:pt>
                <c:pt idx="33">
                  <c:v>4.2020025000000003E-2</c:v>
                </c:pt>
                <c:pt idx="34">
                  <c:v>9.9943900000000002E-2</c:v>
                </c:pt>
                <c:pt idx="35">
                  <c:v>0.14946149</c:v>
                </c:pt>
                <c:pt idx="36">
                  <c:v>2.0489709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23-4CA1-A8E4-7B5FE4927935}"/>
            </c:ext>
          </c:extLst>
        </c:ser>
        <c:ser>
          <c:idx val="3"/>
          <c:order val="3"/>
          <c:tx>
            <c:v>Mean_camera</c:v>
          </c:tx>
          <c:spPr>
            <a:ln w="127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 w="3175">
                <a:solidFill>
                  <a:schemeClr val="tx1"/>
                </a:solidFill>
              </a:ln>
            </c:spPr>
          </c:marker>
          <c:xVal>
            <c:numRef>
              <c:f>'0°_영상계측'!$F$23:$F$59</c:f>
              <c:numCache>
                <c:formatCode>0.00_ </c:formatCode>
                <c:ptCount val="37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'0°_영상계측'!$G$23:$G$59</c:f>
              <c:numCache>
                <c:formatCode>0.00_ </c:formatCode>
                <c:ptCount val="37"/>
                <c:pt idx="0">
                  <c:v>-9.9796250000000006E-3</c:v>
                </c:pt>
                <c:pt idx="1">
                  <c:v>-1.0414444E-2</c:v>
                </c:pt>
                <c:pt idx="2">
                  <c:v>-3.6110985999999999E-3</c:v>
                </c:pt>
                <c:pt idx="3">
                  <c:v>-7.8293049000000003E-3</c:v>
                </c:pt>
                <c:pt idx="4">
                  <c:v>4.9224289000000003E-3</c:v>
                </c:pt>
                <c:pt idx="5">
                  <c:v>1.1407924999999999E-2</c:v>
                </c:pt>
                <c:pt idx="6">
                  <c:v>3.3792389999999999E-2</c:v>
                </c:pt>
                <c:pt idx="7">
                  <c:v>2.3166472E-2</c:v>
                </c:pt>
                <c:pt idx="8">
                  <c:v>4.0050664999999999E-2</c:v>
                </c:pt>
                <c:pt idx="9">
                  <c:v>3.7013503000000003E-2</c:v>
                </c:pt>
                <c:pt idx="10">
                  <c:v>3.3361307999999999E-2</c:v>
                </c:pt>
                <c:pt idx="11">
                  <c:v>2.6143919000000002E-2</c:v>
                </c:pt>
                <c:pt idx="12">
                  <c:v>4.3247313000000003E-2</c:v>
                </c:pt>
                <c:pt idx="13">
                  <c:v>3.2476262999999998E-2</c:v>
                </c:pt>
                <c:pt idx="14">
                  <c:v>1.1255645E-2</c:v>
                </c:pt>
                <c:pt idx="15">
                  <c:v>4.2723339999999999E-2</c:v>
                </c:pt>
                <c:pt idx="16">
                  <c:v>5.7887902999999997E-2</c:v>
                </c:pt>
                <c:pt idx="17">
                  <c:v>5.2192284999999998E-2</c:v>
                </c:pt>
                <c:pt idx="18">
                  <c:v>4.4991801999999997E-2</c:v>
                </c:pt>
                <c:pt idx="19">
                  <c:v>3.9773849E-2</c:v>
                </c:pt>
                <c:pt idx="20">
                  <c:v>3.4538161999999997E-2</c:v>
                </c:pt>
                <c:pt idx="21">
                  <c:v>4.1043785999999999E-2</c:v>
                </c:pt>
                <c:pt idx="22">
                  <c:v>3.4078487999999997E-2</c:v>
                </c:pt>
                <c:pt idx="23">
                  <c:v>5.7289913999999997E-2</c:v>
                </c:pt>
                <c:pt idx="24">
                  <c:v>5.4860667000000002E-2</c:v>
                </c:pt>
                <c:pt idx="25">
                  <c:v>4.9716738000000003E-2</c:v>
                </c:pt>
                <c:pt idx="26">
                  <c:v>4.6069286000000001E-2</c:v>
                </c:pt>
                <c:pt idx="27">
                  <c:v>4.1352698E-2</c:v>
                </c:pt>
                <c:pt idx="28">
                  <c:v>4.3042838E-2</c:v>
                </c:pt>
                <c:pt idx="29">
                  <c:v>5.0417505000000001E-2</c:v>
                </c:pt>
                <c:pt idx="30">
                  <c:v>4.7191628999999999E-2</c:v>
                </c:pt>
                <c:pt idx="31">
                  <c:v>4.5350224000000001E-2</c:v>
                </c:pt>
                <c:pt idx="32">
                  <c:v>4.2852273000000003E-2</c:v>
                </c:pt>
                <c:pt idx="33">
                  <c:v>4.1747214999999997E-2</c:v>
                </c:pt>
                <c:pt idx="34">
                  <c:v>4.1625426E-2</c:v>
                </c:pt>
                <c:pt idx="35">
                  <c:v>3.7583882999999998E-2</c:v>
                </c:pt>
                <c:pt idx="36">
                  <c:v>0.15262877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23-4CA1-A8E4-7B5FE4927935}"/>
            </c:ext>
          </c:extLst>
        </c:ser>
        <c:ser>
          <c:idx val="4"/>
          <c:order val="4"/>
          <c:tx>
            <c:v>RMS_camera</c:v>
          </c:tx>
          <c:spPr>
            <a:ln w="15875">
              <a:solidFill>
                <a:srgbClr val="FF0000"/>
              </a:solidFill>
            </a:ln>
          </c:spPr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'0°_영상계측'!$F$23:$F$59</c:f>
              <c:numCache>
                <c:formatCode>0.00_ </c:formatCode>
                <c:ptCount val="37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'0°_영상계측'!$H$23:$H$59</c:f>
              <c:numCache>
                <c:formatCode>0.00_ </c:formatCode>
                <c:ptCount val="37"/>
                <c:pt idx="0">
                  <c:v>1.9023435999999999E-3</c:v>
                </c:pt>
                <c:pt idx="1">
                  <c:v>2.5673032E-3</c:v>
                </c:pt>
                <c:pt idx="2">
                  <c:v>2.7012258000000001E-3</c:v>
                </c:pt>
                <c:pt idx="3">
                  <c:v>2.7917312000000001E-3</c:v>
                </c:pt>
                <c:pt idx="4">
                  <c:v>2.2054445000000002E-3</c:v>
                </c:pt>
                <c:pt idx="5">
                  <c:v>2.8663235999999998E-3</c:v>
                </c:pt>
                <c:pt idx="6">
                  <c:v>4.0244197999999998E-3</c:v>
                </c:pt>
                <c:pt idx="7">
                  <c:v>1.5241456E-2</c:v>
                </c:pt>
                <c:pt idx="8">
                  <c:v>1.4474986E-2</c:v>
                </c:pt>
                <c:pt idx="9">
                  <c:v>1.1906673E-2</c:v>
                </c:pt>
                <c:pt idx="10">
                  <c:v>1.6967098999999999E-2</c:v>
                </c:pt>
                <c:pt idx="11">
                  <c:v>0.18604225999999999</c:v>
                </c:pt>
                <c:pt idx="12">
                  <c:v>0.21565400000000001</c:v>
                </c:pt>
                <c:pt idx="13">
                  <c:v>0.18363723000000001</c:v>
                </c:pt>
                <c:pt idx="14">
                  <c:v>8.4309050999999996E-2</c:v>
                </c:pt>
                <c:pt idx="15">
                  <c:v>1.0499578000000001E-2</c:v>
                </c:pt>
                <c:pt idx="16">
                  <c:v>9.1675491999999997E-3</c:v>
                </c:pt>
                <c:pt idx="17">
                  <c:v>1.0882966000000001E-2</c:v>
                </c:pt>
                <c:pt idx="18">
                  <c:v>2.0994087000000002E-2</c:v>
                </c:pt>
                <c:pt idx="19">
                  <c:v>0.11031813</c:v>
                </c:pt>
                <c:pt idx="20">
                  <c:v>0.19369696</c:v>
                </c:pt>
                <c:pt idx="21">
                  <c:v>0.27561403000000001</c:v>
                </c:pt>
                <c:pt idx="22">
                  <c:v>0.32565922000000003</c:v>
                </c:pt>
                <c:pt idx="23">
                  <c:v>0.36530096000000001</c:v>
                </c:pt>
                <c:pt idx="24">
                  <c:v>0.38605592999999999</c:v>
                </c:pt>
                <c:pt idx="25">
                  <c:v>0.39929712000000001</c:v>
                </c:pt>
                <c:pt idx="26">
                  <c:v>0.38508576999999999</c:v>
                </c:pt>
                <c:pt idx="27">
                  <c:v>0.26745254000000002</c:v>
                </c:pt>
                <c:pt idx="28">
                  <c:v>0.12383767</c:v>
                </c:pt>
                <c:pt idx="29">
                  <c:v>3.3204270000000001E-2</c:v>
                </c:pt>
                <c:pt idx="30">
                  <c:v>2.9497018999999999E-2</c:v>
                </c:pt>
                <c:pt idx="31">
                  <c:v>3.5971905999999998E-2</c:v>
                </c:pt>
                <c:pt idx="32">
                  <c:v>2.7810944000000001E-2</c:v>
                </c:pt>
                <c:pt idx="33">
                  <c:v>3.8933448000000002E-2</c:v>
                </c:pt>
                <c:pt idx="34">
                  <c:v>5.1420489999999999E-2</c:v>
                </c:pt>
                <c:pt idx="35">
                  <c:v>5.0628702999999997E-2</c:v>
                </c:pt>
                <c:pt idx="36">
                  <c:v>1.2075731999999999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23-4CA1-A8E4-7B5FE4927935}"/>
            </c:ext>
          </c:extLst>
        </c:ser>
        <c:ser>
          <c:idx val="5"/>
          <c:order val="5"/>
          <c:tx>
            <c:v>Peak_camera</c:v>
          </c:tx>
          <c:spPr>
            <a:ln w="12700">
              <a:solidFill>
                <a:srgbClr val="0070C0"/>
              </a:solidFill>
            </a:ln>
          </c:spPr>
          <c:marker>
            <c:symbol val="triangle"/>
            <c:size val="7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'0°_영상계측'!$F$23:$F$59</c:f>
              <c:numCache>
                <c:formatCode>0.00_ </c:formatCode>
                <c:ptCount val="37"/>
                <c:pt idx="0">
                  <c:v>0</c:v>
                </c:pt>
                <c:pt idx="1">
                  <c:v>0.10822999999999999</c:v>
                </c:pt>
                <c:pt idx="2">
                  <c:v>0.29272999999999999</c:v>
                </c:pt>
                <c:pt idx="3">
                  <c:v>0.47722999999999999</c:v>
                </c:pt>
                <c:pt idx="4">
                  <c:v>0.56947999999999999</c:v>
                </c:pt>
                <c:pt idx="5">
                  <c:v>0.66173000000000015</c:v>
                </c:pt>
                <c:pt idx="6">
                  <c:v>0.75398000000000009</c:v>
                </c:pt>
                <c:pt idx="7">
                  <c:v>0.84623000000000004</c:v>
                </c:pt>
                <c:pt idx="8">
                  <c:v>0.9384800000000002</c:v>
                </c:pt>
                <c:pt idx="9">
                  <c:v>1.0307300000000001</c:v>
                </c:pt>
                <c:pt idx="10">
                  <c:v>1.1229800000000001</c:v>
                </c:pt>
                <c:pt idx="11">
                  <c:v>1.21523</c:v>
                </c:pt>
                <c:pt idx="12">
                  <c:v>1.3074800000000002</c:v>
                </c:pt>
                <c:pt idx="13">
                  <c:v>1.3997300000000001</c:v>
                </c:pt>
                <c:pt idx="14">
                  <c:v>1.4919800000000001</c:v>
                </c:pt>
                <c:pt idx="15">
                  <c:v>1.5842300000000002</c:v>
                </c:pt>
                <c:pt idx="16">
                  <c:v>1.6764800000000002</c:v>
                </c:pt>
                <c:pt idx="17">
                  <c:v>1.7687300000000001</c:v>
                </c:pt>
                <c:pt idx="18">
                  <c:v>1.95323</c:v>
                </c:pt>
                <c:pt idx="19">
                  <c:v>2.1377300000000004</c:v>
                </c:pt>
                <c:pt idx="20">
                  <c:v>2.3222300000000002</c:v>
                </c:pt>
                <c:pt idx="21">
                  <c:v>2.5067300000000001</c:v>
                </c:pt>
                <c:pt idx="22">
                  <c:v>2.69123</c:v>
                </c:pt>
                <c:pt idx="23">
                  <c:v>2.8757300000000003</c:v>
                </c:pt>
                <c:pt idx="24">
                  <c:v>3.0602300000000002</c:v>
                </c:pt>
                <c:pt idx="25">
                  <c:v>3.2447300000000001</c:v>
                </c:pt>
                <c:pt idx="26">
                  <c:v>3.4292300000000004</c:v>
                </c:pt>
                <c:pt idx="27">
                  <c:v>3.6137300000000003</c:v>
                </c:pt>
                <c:pt idx="28">
                  <c:v>3.7982300000000002</c:v>
                </c:pt>
                <c:pt idx="29">
                  <c:v>3.9827300000000001</c:v>
                </c:pt>
                <c:pt idx="30">
                  <c:v>4.16723</c:v>
                </c:pt>
                <c:pt idx="31">
                  <c:v>4.3517300000000008</c:v>
                </c:pt>
                <c:pt idx="32">
                  <c:v>4.5362300000000007</c:v>
                </c:pt>
                <c:pt idx="33">
                  <c:v>4.7207300000000005</c:v>
                </c:pt>
                <c:pt idx="34">
                  <c:v>4.9052300000000004</c:v>
                </c:pt>
                <c:pt idx="35">
                  <c:v>5.0897300000000003</c:v>
                </c:pt>
                <c:pt idx="36">
                  <c:v>5.2742300000000002</c:v>
                </c:pt>
              </c:numCache>
            </c:numRef>
          </c:xVal>
          <c:yVal>
            <c:numRef>
              <c:f>'0°_영상계측'!$I$23:$I$59</c:f>
              <c:numCache>
                <c:formatCode>0.00_ </c:formatCode>
                <c:ptCount val="37"/>
                <c:pt idx="0">
                  <c:v>3.5670718999999997E-2</c:v>
                </c:pt>
                <c:pt idx="1">
                  <c:v>4.0237040000000002E-2</c:v>
                </c:pt>
                <c:pt idx="2">
                  <c:v>1.9915904000000002E-2</c:v>
                </c:pt>
                <c:pt idx="3">
                  <c:v>3.1358105999999997E-2</c:v>
                </c:pt>
                <c:pt idx="4">
                  <c:v>3.1657083999999999E-3</c:v>
                </c:pt>
                <c:pt idx="5">
                  <c:v>5.2497679999999997E-4</c:v>
                </c:pt>
                <c:pt idx="6">
                  <c:v>-1.9529029999999999E-2</c:v>
                </c:pt>
                <c:pt idx="7">
                  <c:v>2.6477180999999999E-2</c:v>
                </c:pt>
                <c:pt idx="8">
                  <c:v>2.4646819E-2</c:v>
                </c:pt>
                <c:pt idx="9">
                  <c:v>5.8193584000000003E-3</c:v>
                </c:pt>
                <c:pt idx="10">
                  <c:v>1.5376725000000001E-2</c:v>
                </c:pt>
                <c:pt idx="11">
                  <c:v>0.24760784</c:v>
                </c:pt>
                <c:pt idx="12">
                  <c:v>0.27148805999999998</c:v>
                </c:pt>
                <c:pt idx="13">
                  <c:v>0.24705225</c:v>
                </c:pt>
                <c:pt idx="14">
                  <c:v>0.15400899000000001</c:v>
                </c:pt>
                <c:pt idx="15">
                  <c:v>-1.1191107E-2</c:v>
                </c:pt>
                <c:pt idx="16">
                  <c:v>-2.7188548E-2</c:v>
                </c:pt>
                <c:pt idx="17">
                  <c:v>-1.6877379000000001E-2</c:v>
                </c:pt>
                <c:pt idx="18">
                  <c:v>1.484029E-3</c:v>
                </c:pt>
                <c:pt idx="19">
                  <c:v>0.15638346</c:v>
                </c:pt>
                <c:pt idx="20">
                  <c:v>0.25817052000000001</c:v>
                </c:pt>
                <c:pt idx="21">
                  <c:v>0.40544076000000001</c:v>
                </c:pt>
                <c:pt idx="22">
                  <c:v>0.45829259</c:v>
                </c:pt>
                <c:pt idx="23">
                  <c:v>0.50323309000000005</c:v>
                </c:pt>
                <c:pt idx="24">
                  <c:v>0.52106476000000002</c:v>
                </c:pt>
                <c:pt idx="25">
                  <c:v>0.56544329000000004</c:v>
                </c:pt>
                <c:pt idx="26">
                  <c:v>0.55148235999999995</c:v>
                </c:pt>
                <c:pt idx="27">
                  <c:v>0.42795164000000002</c:v>
                </c:pt>
                <c:pt idx="28">
                  <c:v>0.15586795000000001</c:v>
                </c:pt>
                <c:pt idx="29">
                  <c:v>4.6651999999999999E-2</c:v>
                </c:pt>
                <c:pt idx="30">
                  <c:v>4.7953128999999997E-2</c:v>
                </c:pt>
                <c:pt idx="31">
                  <c:v>5.7113886000000003E-2</c:v>
                </c:pt>
                <c:pt idx="32">
                  <c:v>3.4978196000000003E-2</c:v>
                </c:pt>
                <c:pt idx="33">
                  <c:v>6.5313640000000006E-2</c:v>
                </c:pt>
                <c:pt idx="34">
                  <c:v>0.12478549</c:v>
                </c:pt>
                <c:pt idx="35">
                  <c:v>0.14789300999999999</c:v>
                </c:pt>
                <c:pt idx="36">
                  <c:v>2.0921324000000001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23-4CA1-A8E4-7B5FE4927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49792"/>
        <c:axId val="210050368"/>
      </c:scatterChart>
      <c:valAx>
        <c:axId val="210049792"/>
        <c:scaling>
          <c:orientation val="minMax"/>
          <c:max val="8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velocity (m/s)</a:t>
                </a:r>
              </a:p>
            </c:rich>
          </c:tx>
          <c:layout>
            <c:manualLayout>
              <c:xMode val="edge"/>
              <c:yMode val="edge"/>
              <c:x val="0.43203934459648824"/>
              <c:y val="0.9060150375939880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210050368"/>
        <c:crossesAt val="-100"/>
        <c:crossBetween val="midCat"/>
        <c:majorUnit val="1"/>
        <c:minorUnit val="1"/>
      </c:valAx>
      <c:valAx>
        <c:axId val="210050368"/>
        <c:scaling>
          <c:orientation val="minMax"/>
          <c:max val="2"/>
          <c:min val="-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Displacement (cm)</a:t>
                </a:r>
              </a:p>
            </c:rich>
          </c:tx>
          <c:layout>
            <c:manualLayout>
              <c:xMode val="edge"/>
              <c:yMode val="edge"/>
              <c:x val="1.2135922330097084E-2"/>
              <c:y val="0.26691729323308394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210049792"/>
        <c:crosses val="autoZero"/>
        <c:crossBetween val="midCat"/>
        <c:majorUnit val="0.5"/>
        <c:minorUnit val="0.25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235147330721592"/>
          <c:y val="6.8922305764411024E-2"/>
          <c:w val="0.20237516379928933"/>
          <c:h val="0.314708661417322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0255" r="0.7500000000000025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66675</xdr:rowOff>
    </xdr:from>
    <xdr:to>
      <xdr:col>15</xdr:col>
      <xdr:colOff>381000</xdr:colOff>
      <xdr:row>17</xdr:row>
      <xdr:rowOff>161925</xdr:rowOff>
    </xdr:to>
    <xdr:graphicFrame macro="">
      <xdr:nvGraphicFramePr>
        <xdr:cNvPr id="1429" name="Chart 1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</xdr:row>
      <xdr:rowOff>66675</xdr:rowOff>
    </xdr:from>
    <xdr:to>
      <xdr:col>6</xdr:col>
      <xdr:colOff>28575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</xdr:colOff>
      <xdr:row>2</xdr:row>
      <xdr:rowOff>57150</xdr:rowOff>
    </xdr:from>
    <xdr:to>
      <xdr:col>12</xdr:col>
      <xdr:colOff>542925</xdr:colOff>
      <xdr:row>15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</xdr:row>
      <xdr:rowOff>66675</xdr:rowOff>
    </xdr:from>
    <xdr:to>
      <xdr:col>6</xdr:col>
      <xdr:colOff>28575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A2275D-5BBD-4791-BABE-F140BD8D0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</xdr:colOff>
      <xdr:row>2</xdr:row>
      <xdr:rowOff>57150</xdr:rowOff>
    </xdr:from>
    <xdr:to>
      <xdr:col>12</xdr:col>
      <xdr:colOff>542925</xdr:colOff>
      <xdr:row>15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D7F0F89-847A-4FEA-93DE-C66275E39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</xdr:row>
      <xdr:rowOff>66675</xdr:rowOff>
    </xdr:from>
    <xdr:to>
      <xdr:col>6</xdr:col>
      <xdr:colOff>28575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AFE44-B9BA-4093-9E8F-8E0223CBF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</xdr:colOff>
      <xdr:row>2</xdr:row>
      <xdr:rowOff>57150</xdr:rowOff>
    </xdr:from>
    <xdr:to>
      <xdr:col>12</xdr:col>
      <xdr:colOff>542925</xdr:colOff>
      <xdr:row>15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2207590-ADC8-4BC0-ACEB-426D27BA5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476249</xdr:colOff>
      <xdr:row>2</xdr:row>
      <xdr:rowOff>28575</xdr:rowOff>
    </xdr:from>
    <xdr:to>
      <xdr:col>11</xdr:col>
      <xdr:colOff>359700</xdr:colOff>
      <xdr:row>29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8D4E2-2E6C-415D-B737-6B18D49DF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22</xdr:col>
      <xdr:colOff>645451</xdr:colOff>
      <xdr:row>29</xdr:row>
      <xdr:rowOff>38100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9DD19DB-2832-4C44-A339-CA3446CBC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495300</xdr:colOff>
      <xdr:row>31</xdr:row>
      <xdr:rowOff>19050</xdr:rowOff>
    </xdr:from>
    <xdr:to>
      <xdr:col>11</xdr:col>
      <xdr:colOff>378751</xdr:colOff>
      <xdr:row>58</xdr:row>
      <xdr:rowOff>57150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DAE5761-0746-4BEC-8C98-978986FCE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19051</xdr:colOff>
      <xdr:row>30</xdr:row>
      <xdr:rowOff>161925</xdr:rowOff>
    </xdr:from>
    <xdr:to>
      <xdr:col>22</xdr:col>
      <xdr:colOff>664502</xdr:colOff>
      <xdr:row>58</xdr:row>
      <xdr:rowOff>28575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E4BFB6BA-8ECA-4B55-8C2E-7FDB9EA0C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workbookViewId="0">
      <selection activeCell="F23" sqref="F23"/>
    </sheetView>
  </sheetViews>
  <sheetFormatPr defaultRowHeight="13.5"/>
  <cols>
    <col min="1" max="1" width="8.88671875" style="1"/>
    <col min="3" max="4" width="13.109375" bestFit="1" customWidth="1"/>
    <col min="5" max="5" width="24.109375" style="1" customWidth="1"/>
    <col min="6" max="6" width="15.6640625" style="10" bestFit="1" customWidth="1"/>
    <col min="7" max="9" width="8.88671875" style="10"/>
    <col min="15" max="15" width="11.33203125" bestFit="1" customWidth="1"/>
  </cols>
  <sheetData>
    <row r="1" spans="1:9">
      <c r="A1" s="49" t="s">
        <v>49</v>
      </c>
      <c r="B1" s="49"/>
      <c r="C1" s="49"/>
      <c r="D1" s="49"/>
      <c r="E1" s="49"/>
      <c r="F1" s="5" t="s">
        <v>12</v>
      </c>
      <c r="G1" s="5">
        <v>20</v>
      </c>
      <c r="H1" s="50" t="s">
        <v>13</v>
      </c>
      <c r="I1" s="50"/>
    </row>
    <row r="2" spans="1:9">
      <c r="A2" s="1" t="s">
        <v>4</v>
      </c>
      <c r="B2" s="1" t="s">
        <v>0</v>
      </c>
      <c r="C2" s="1" t="s">
        <v>1</v>
      </c>
      <c r="D2" s="1" t="s">
        <v>2</v>
      </c>
      <c r="E2" s="1" t="s">
        <v>3</v>
      </c>
      <c r="F2" s="5" t="s">
        <v>10</v>
      </c>
      <c r="G2" s="5">
        <v>1020.3</v>
      </c>
      <c r="H2" s="6" t="s">
        <v>47</v>
      </c>
      <c r="I2" s="6" t="s">
        <v>48</v>
      </c>
    </row>
    <row r="3" spans="1:9">
      <c r="A3" s="1" t="s">
        <v>5</v>
      </c>
      <c r="B3" s="1">
        <v>10</v>
      </c>
      <c r="C3" s="2">
        <v>4.7649545000000001E-2</v>
      </c>
      <c r="D3" s="4">
        <v>0</v>
      </c>
      <c r="E3" s="2"/>
      <c r="F3" s="5" t="s">
        <v>14</v>
      </c>
      <c r="G3" s="5">
        <f>760*G2/1013</f>
        <v>765.47680157946695</v>
      </c>
      <c r="H3" s="7">
        <f>((D3/4)*SQRT(2/$G$4))*($G$7/$G$8)*SQRT($G$6)</f>
        <v>0</v>
      </c>
      <c r="I3" s="7">
        <f>((D3/4)*SQRT(2/$G$4))*($G$9/$G$10)*SQRT($G$6)</f>
        <v>0</v>
      </c>
    </row>
    <row r="4" spans="1:9" ht="14.25">
      <c r="A4" s="1" t="s">
        <v>6</v>
      </c>
      <c r="B4" s="1">
        <v>20</v>
      </c>
      <c r="C4" s="2">
        <v>0.13480981</v>
      </c>
      <c r="D4" s="4">
        <f t="shared" ref="D4:D42" si="0">B4*0.01845-0.26077</f>
        <v>0.10822999999999999</v>
      </c>
      <c r="E4" s="2"/>
      <c r="F4" s="5" t="s">
        <v>20</v>
      </c>
      <c r="G4" s="8">
        <f>0.13186*273/(G1+273)*G3/760</f>
        <v>0.12374468070038308</v>
      </c>
      <c r="H4" s="7">
        <f t="shared" ref="H4:H9" si="1">((D4/4)*SQRT(2/$G$4))*($G$7/$G$8)*SQRT($G$6)</f>
        <v>0.10877758063140758</v>
      </c>
      <c r="I4" s="7">
        <f t="shared" ref="I4:I9" si="2">((D4/4)*SQRT(2/$G$4))*($G$9/$G$10)*SQRT($G$6)</f>
        <v>0.10877758063140758</v>
      </c>
    </row>
    <row r="5" spans="1:9" ht="16.5">
      <c r="A5" s="1" t="s">
        <v>7</v>
      </c>
      <c r="B5" s="1">
        <v>30</v>
      </c>
      <c r="C5" s="2">
        <v>0.31348007</v>
      </c>
      <c r="D5" s="4">
        <f t="shared" si="0"/>
        <v>0.29272999999999999</v>
      </c>
      <c r="E5" s="2"/>
      <c r="F5" s="5" t="s">
        <v>19</v>
      </c>
      <c r="G5" s="8">
        <f>G4*9.80665</f>
        <v>1.2135207729904116</v>
      </c>
      <c r="H5" s="7">
        <f t="shared" si="1"/>
        <v>0.29421104294772188</v>
      </c>
      <c r="I5" s="7">
        <f t="shared" si="2"/>
        <v>0.29421104294772188</v>
      </c>
    </row>
    <row r="6" spans="1:9">
      <c r="A6" s="1" t="s">
        <v>8</v>
      </c>
      <c r="B6" s="1">
        <v>40</v>
      </c>
      <c r="C6" s="2">
        <v>0.47350826000000001</v>
      </c>
      <c r="D6" s="4">
        <f t="shared" si="0"/>
        <v>0.47722999999999999</v>
      </c>
      <c r="E6" s="2"/>
      <c r="F6" s="5" t="s">
        <v>15</v>
      </c>
      <c r="G6" s="13">
        <v>1</v>
      </c>
      <c r="H6" s="7">
        <f t="shared" si="1"/>
        <v>0.47964450526403618</v>
      </c>
      <c r="I6" s="7">
        <f t="shared" si="2"/>
        <v>0.47964450526403618</v>
      </c>
    </row>
    <row r="7" spans="1:9">
      <c r="A7" s="1" t="s">
        <v>9</v>
      </c>
      <c r="B7" s="1">
        <v>45</v>
      </c>
      <c r="C7" s="2">
        <v>0.56514365</v>
      </c>
      <c r="D7" s="4">
        <f t="shared" si="0"/>
        <v>0.56947999999999999</v>
      </c>
      <c r="E7" s="2"/>
      <c r="F7" s="5" t="s">
        <v>16</v>
      </c>
      <c r="G7" s="15">
        <v>1</v>
      </c>
      <c r="H7" s="7">
        <f t="shared" si="1"/>
        <v>0.57236123642219339</v>
      </c>
      <c r="I7" s="7">
        <f t="shared" si="2"/>
        <v>0.57236123642219339</v>
      </c>
    </row>
    <row r="8" spans="1:9">
      <c r="A8" s="1" t="s">
        <v>11</v>
      </c>
      <c r="B8" s="1">
        <v>50</v>
      </c>
      <c r="C8" s="2">
        <v>0.65706494999999998</v>
      </c>
      <c r="D8" s="4">
        <f t="shared" si="0"/>
        <v>0.66173000000000015</v>
      </c>
      <c r="E8" s="2"/>
      <c r="F8" s="5" t="s">
        <v>17</v>
      </c>
      <c r="G8" s="15">
        <v>1</v>
      </c>
      <c r="H8" s="7">
        <f t="shared" si="1"/>
        <v>0.66507796758035065</v>
      </c>
      <c r="I8" s="7">
        <f t="shared" si="2"/>
        <v>0.66507796758035065</v>
      </c>
    </row>
    <row r="9" spans="1:9">
      <c r="A9" s="1" t="s">
        <v>22</v>
      </c>
      <c r="B9" s="1">
        <v>55</v>
      </c>
      <c r="C9" s="2">
        <v>0.74126950999999996</v>
      </c>
      <c r="D9" s="4">
        <f t="shared" si="0"/>
        <v>0.75398000000000009</v>
      </c>
      <c r="E9" s="2"/>
      <c r="F9" s="5" t="s">
        <v>18</v>
      </c>
      <c r="G9" s="15">
        <v>1</v>
      </c>
      <c r="H9" s="7">
        <f t="shared" si="1"/>
        <v>0.7577946987385078</v>
      </c>
      <c r="I9" s="7">
        <f t="shared" si="2"/>
        <v>0.7577946987385078</v>
      </c>
    </row>
    <row r="10" spans="1:9">
      <c r="A10" s="1" t="s">
        <v>23</v>
      </c>
      <c r="B10" s="1">
        <v>60</v>
      </c>
      <c r="C10" s="2">
        <v>0.84212032000000003</v>
      </c>
      <c r="D10" s="4">
        <f t="shared" si="0"/>
        <v>0.84623000000000004</v>
      </c>
      <c r="E10" s="2"/>
      <c r="F10" s="5" t="s">
        <v>21</v>
      </c>
      <c r="G10" s="15">
        <v>1</v>
      </c>
      <c r="H10" s="7">
        <f t="shared" ref="H10:H33" si="3">((D10/4)*SQRT(2/$G$4))*($G$7/$G$8)*SQRT($G$6)</f>
        <v>0.85051142989666484</v>
      </c>
      <c r="I10" s="7">
        <f t="shared" ref="I10:I33" si="4">((D10/4)*SQRT(2/$G$4))*($G$9/$G$10)*SQRT($G$6)</f>
        <v>0.85051142989666484</v>
      </c>
    </row>
    <row r="11" spans="1:9">
      <c r="A11" s="1" t="s">
        <v>24</v>
      </c>
      <c r="B11" s="1">
        <v>65</v>
      </c>
      <c r="C11" s="2">
        <v>0.93170777000000005</v>
      </c>
      <c r="D11" s="4">
        <f t="shared" si="0"/>
        <v>0.9384800000000002</v>
      </c>
      <c r="E11" s="2"/>
      <c r="F11" s="9"/>
      <c r="H11" s="7">
        <f t="shared" si="3"/>
        <v>0.94322816105482221</v>
      </c>
      <c r="I11" s="7">
        <f t="shared" si="4"/>
        <v>0.94322816105482221</v>
      </c>
    </row>
    <row r="12" spans="1:9">
      <c r="A12" s="1" t="s">
        <v>25</v>
      </c>
      <c r="B12" s="1">
        <v>70</v>
      </c>
      <c r="C12" s="2">
        <v>1.0176829000000001</v>
      </c>
      <c r="D12" s="4">
        <f t="shared" si="0"/>
        <v>1.0307300000000001</v>
      </c>
      <c r="E12" s="2"/>
      <c r="F12" s="9"/>
      <c r="H12" s="7">
        <f t="shared" si="3"/>
        <v>1.0359448922129793</v>
      </c>
      <c r="I12" s="7">
        <f t="shared" si="4"/>
        <v>1.0359448922129793</v>
      </c>
    </row>
    <row r="13" spans="1:9">
      <c r="A13" s="1" t="s">
        <v>26</v>
      </c>
      <c r="B13" s="1">
        <v>75</v>
      </c>
      <c r="C13" s="2">
        <v>1.1090070999999999</v>
      </c>
      <c r="D13" s="4">
        <f t="shared" si="0"/>
        <v>1.1229800000000001</v>
      </c>
      <c r="E13" s="2"/>
      <c r="F13" s="9"/>
      <c r="H13" s="7">
        <f t="shared" si="3"/>
        <v>1.1286616233711364</v>
      </c>
      <c r="I13" s="7">
        <f t="shared" si="4"/>
        <v>1.1286616233711364</v>
      </c>
    </row>
    <row r="14" spans="1:9">
      <c r="A14" s="1" t="s">
        <v>27</v>
      </c>
      <c r="B14" s="1">
        <v>80</v>
      </c>
      <c r="C14" s="2">
        <v>1.2094389999999999</v>
      </c>
      <c r="D14" s="4">
        <f t="shared" si="0"/>
        <v>1.21523</v>
      </c>
      <c r="E14" s="2"/>
      <c r="F14" s="9"/>
      <c r="H14" s="7">
        <f t="shared" si="3"/>
        <v>1.2213783545292936</v>
      </c>
      <c r="I14" s="7">
        <f t="shared" si="4"/>
        <v>1.2213783545292936</v>
      </c>
    </row>
    <row r="15" spans="1:9">
      <c r="A15" s="1" t="s">
        <v>28</v>
      </c>
      <c r="B15" s="1">
        <v>85</v>
      </c>
      <c r="C15" s="2">
        <v>1.2893250000000001</v>
      </c>
      <c r="D15" s="4">
        <f t="shared" si="0"/>
        <v>1.3074800000000002</v>
      </c>
      <c r="E15" s="2"/>
      <c r="F15" s="9"/>
      <c r="H15" s="7">
        <f t="shared" si="3"/>
        <v>1.3140950856874509</v>
      </c>
      <c r="I15" s="7">
        <f t="shared" si="4"/>
        <v>1.3140950856874509</v>
      </c>
    </row>
    <row r="16" spans="1:9">
      <c r="A16" s="1" t="s">
        <v>29</v>
      </c>
      <c r="B16" s="1">
        <v>90</v>
      </c>
      <c r="C16" s="2">
        <v>1.3932964000000001</v>
      </c>
      <c r="D16" s="4">
        <f t="shared" si="0"/>
        <v>1.3997300000000001</v>
      </c>
      <c r="E16" s="2"/>
      <c r="F16" s="9"/>
      <c r="H16" s="7">
        <f t="shared" si="3"/>
        <v>1.4068118168456079</v>
      </c>
      <c r="I16" s="7">
        <f t="shared" si="4"/>
        <v>1.4068118168456079</v>
      </c>
    </row>
    <row r="17" spans="1:9">
      <c r="A17" s="1" t="s">
        <v>30</v>
      </c>
      <c r="B17" s="1">
        <v>95</v>
      </c>
      <c r="C17" s="2">
        <v>1.4778910999999999</v>
      </c>
      <c r="D17" s="4">
        <f t="shared" si="0"/>
        <v>1.4919800000000001</v>
      </c>
      <c r="E17" s="2"/>
      <c r="F17" s="9"/>
      <c r="H17" s="7">
        <f t="shared" si="3"/>
        <v>1.499528548003765</v>
      </c>
      <c r="I17" s="7">
        <f t="shared" si="4"/>
        <v>1.499528548003765</v>
      </c>
    </row>
    <row r="18" spans="1:9">
      <c r="A18" s="1" t="s">
        <v>31</v>
      </c>
      <c r="B18" s="1">
        <v>100</v>
      </c>
      <c r="C18" s="2">
        <v>1.5782593</v>
      </c>
      <c r="D18" s="4">
        <f t="shared" si="0"/>
        <v>1.5842300000000002</v>
      </c>
      <c r="E18" s="2"/>
      <c r="F18" s="9"/>
      <c r="H18" s="7">
        <f t="shared" si="3"/>
        <v>1.5922452791619224</v>
      </c>
      <c r="I18" s="7">
        <f t="shared" si="4"/>
        <v>1.5922452791619224</v>
      </c>
    </row>
    <row r="19" spans="1:9">
      <c r="A19" s="1" t="s">
        <v>32</v>
      </c>
      <c r="B19" s="1">
        <v>105</v>
      </c>
      <c r="C19" s="2">
        <v>1.6669442000000001</v>
      </c>
      <c r="D19" s="4">
        <f t="shared" si="0"/>
        <v>1.6764800000000002</v>
      </c>
      <c r="F19" s="9"/>
      <c r="H19" s="7">
        <f t="shared" si="3"/>
        <v>1.6849620103200795</v>
      </c>
      <c r="I19" s="7">
        <f t="shared" si="4"/>
        <v>1.6849620103200795</v>
      </c>
    </row>
    <row r="20" spans="1:9">
      <c r="A20" s="1" t="s">
        <v>33</v>
      </c>
      <c r="B20" s="1">
        <v>110</v>
      </c>
      <c r="C20" s="2">
        <v>1.7423777</v>
      </c>
      <c r="D20" s="4">
        <f t="shared" si="0"/>
        <v>1.7687300000000001</v>
      </c>
      <c r="E20" s="12"/>
      <c r="F20" s="9"/>
      <c r="H20" s="7">
        <f t="shared" si="3"/>
        <v>1.7776787414782367</v>
      </c>
      <c r="I20" s="7">
        <f t="shared" si="4"/>
        <v>1.7776787414782367</v>
      </c>
    </row>
    <row r="21" spans="1:9">
      <c r="A21" s="1" t="s">
        <v>34</v>
      </c>
      <c r="B21" s="1">
        <v>120</v>
      </c>
      <c r="C21" s="2">
        <v>1.9448288</v>
      </c>
      <c r="D21" s="4">
        <f t="shared" si="0"/>
        <v>1.95323</v>
      </c>
      <c r="E21" s="12"/>
      <c r="F21" s="9"/>
      <c r="H21" s="7">
        <f t="shared" si="3"/>
        <v>1.9631122037945508</v>
      </c>
      <c r="I21" s="7">
        <f t="shared" si="4"/>
        <v>1.9631122037945508</v>
      </c>
    </row>
    <row r="22" spans="1:9">
      <c r="A22" s="1" t="s">
        <v>35</v>
      </c>
      <c r="B22" s="1">
        <v>130</v>
      </c>
      <c r="C22" s="2">
        <v>2.1285626</v>
      </c>
      <c r="D22" s="4">
        <f t="shared" si="0"/>
        <v>2.1377300000000004</v>
      </c>
      <c r="E22" s="2"/>
      <c r="F22" s="9"/>
      <c r="H22" s="7">
        <f t="shared" si="3"/>
        <v>2.1485456661108655</v>
      </c>
      <c r="I22" s="7">
        <f t="shared" si="4"/>
        <v>2.1485456661108655</v>
      </c>
    </row>
    <row r="23" spans="1:9">
      <c r="A23" s="1" t="s">
        <v>36</v>
      </c>
      <c r="B23" s="1">
        <v>140</v>
      </c>
      <c r="C23" s="2">
        <v>2.3147448000000002</v>
      </c>
      <c r="D23" s="4">
        <f t="shared" si="0"/>
        <v>2.3222300000000002</v>
      </c>
      <c r="F23" s="9"/>
      <c r="H23" s="7">
        <f t="shared" si="3"/>
        <v>2.3339791284271798</v>
      </c>
      <c r="I23" s="7">
        <f t="shared" si="4"/>
        <v>2.3339791284271798</v>
      </c>
    </row>
    <row r="24" spans="1:9">
      <c r="A24" s="1" t="s">
        <v>37</v>
      </c>
      <c r="B24" s="1">
        <v>150</v>
      </c>
      <c r="C24" s="2">
        <v>2.4853847999999998</v>
      </c>
      <c r="D24" s="4">
        <f t="shared" si="0"/>
        <v>2.5067300000000001</v>
      </c>
      <c r="E24" s="2"/>
      <c r="F24" s="9"/>
      <c r="H24" s="7">
        <f t="shared" si="3"/>
        <v>2.5194125907434937</v>
      </c>
      <c r="I24" s="7">
        <f t="shared" si="4"/>
        <v>2.5194125907434937</v>
      </c>
    </row>
    <row r="25" spans="1:9">
      <c r="A25" s="1" t="s">
        <v>38</v>
      </c>
      <c r="B25" s="1">
        <v>160</v>
      </c>
      <c r="C25" s="2">
        <v>2.6665936000000001</v>
      </c>
      <c r="D25" s="4">
        <f t="shared" si="0"/>
        <v>2.69123</v>
      </c>
      <c r="E25" s="2"/>
      <c r="F25" s="9"/>
      <c r="H25" s="7">
        <f t="shared" si="3"/>
        <v>2.704846053059808</v>
      </c>
      <c r="I25" s="7">
        <f t="shared" si="4"/>
        <v>2.704846053059808</v>
      </c>
    </row>
    <row r="26" spans="1:9">
      <c r="A26" s="1" t="s">
        <v>39</v>
      </c>
      <c r="B26" s="1">
        <v>170</v>
      </c>
      <c r="C26" s="2">
        <v>2.8664407999999999</v>
      </c>
      <c r="D26" s="4">
        <f t="shared" si="0"/>
        <v>2.8757300000000003</v>
      </c>
      <c r="F26" s="9"/>
      <c r="H26" s="7">
        <f t="shared" si="3"/>
        <v>2.8902795153761227</v>
      </c>
      <c r="I26" s="7">
        <f t="shared" si="4"/>
        <v>2.8902795153761227</v>
      </c>
    </row>
    <row r="27" spans="1:9">
      <c r="A27" s="1" t="s">
        <v>40</v>
      </c>
      <c r="B27" s="1">
        <v>180</v>
      </c>
      <c r="C27" s="2">
        <v>3.0428994</v>
      </c>
      <c r="D27" s="4">
        <f t="shared" si="0"/>
        <v>3.0602300000000002</v>
      </c>
      <c r="E27" s="2"/>
      <c r="F27" s="9"/>
      <c r="H27" s="7">
        <f t="shared" si="3"/>
        <v>3.075712977692437</v>
      </c>
      <c r="I27" s="7">
        <f t="shared" si="4"/>
        <v>3.075712977692437</v>
      </c>
    </row>
    <row r="28" spans="1:9">
      <c r="A28" s="1" t="s">
        <v>41</v>
      </c>
      <c r="B28" s="1">
        <v>190</v>
      </c>
      <c r="C28" s="2">
        <v>3.2375286999999999</v>
      </c>
      <c r="D28" s="4">
        <f t="shared" si="0"/>
        <v>3.2447300000000001</v>
      </c>
      <c r="E28" s="2"/>
      <c r="F28" s="9"/>
      <c r="H28" s="7">
        <f t="shared" si="3"/>
        <v>3.2611464400087513</v>
      </c>
      <c r="I28" s="7">
        <f t="shared" si="4"/>
        <v>3.2611464400087513</v>
      </c>
    </row>
    <row r="29" spans="1:9">
      <c r="A29" s="1" t="s">
        <v>42</v>
      </c>
      <c r="B29" s="1">
        <v>200</v>
      </c>
      <c r="C29" s="2">
        <v>3.4285000999999999</v>
      </c>
      <c r="D29" s="4">
        <f t="shared" si="0"/>
        <v>3.4292300000000004</v>
      </c>
      <c r="E29" s="2"/>
      <c r="F29" s="9"/>
      <c r="H29" s="7">
        <f t="shared" si="3"/>
        <v>3.4465799023250656</v>
      </c>
      <c r="I29" s="7">
        <f t="shared" si="4"/>
        <v>3.4465799023250656</v>
      </c>
    </row>
    <row r="30" spans="1:9">
      <c r="A30" s="1" t="s">
        <v>43</v>
      </c>
      <c r="B30" s="1">
        <v>210</v>
      </c>
      <c r="C30" s="2">
        <v>3.6008637999999999</v>
      </c>
      <c r="D30" s="4">
        <f t="shared" si="0"/>
        <v>3.6137300000000003</v>
      </c>
      <c r="E30" s="2"/>
      <c r="F30" s="9"/>
      <c r="H30" s="7">
        <f t="shared" si="3"/>
        <v>3.6320133646413799</v>
      </c>
      <c r="I30" s="7">
        <f t="shared" si="4"/>
        <v>3.6320133646413799</v>
      </c>
    </row>
    <row r="31" spans="1:9">
      <c r="A31" s="1" t="s">
        <v>44</v>
      </c>
      <c r="B31" s="1">
        <v>220</v>
      </c>
      <c r="C31" s="2">
        <v>3.8056492999999998</v>
      </c>
      <c r="D31" s="4">
        <f t="shared" si="0"/>
        <v>3.7982300000000002</v>
      </c>
      <c r="E31" s="2"/>
      <c r="F31" s="9"/>
      <c r="H31" s="7">
        <f t="shared" si="3"/>
        <v>3.8174468269576942</v>
      </c>
      <c r="I31" s="7">
        <f t="shared" si="4"/>
        <v>3.8174468269576942</v>
      </c>
    </row>
    <row r="32" spans="1:9">
      <c r="A32" s="1" t="s">
        <v>45</v>
      </c>
      <c r="B32" s="1">
        <v>230</v>
      </c>
      <c r="C32" s="2">
        <v>3.9937629000000001</v>
      </c>
      <c r="D32" s="4">
        <f t="shared" si="0"/>
        <v>3.9827300000000001</v>
      </c>
      <c r="E32" s="2"/>
      <c r="F32" s="9"/>
      <c r="H32" s="7">
        <f t="shared" si="3"/>
        <v>4.0028802892740085</v>
      </c>
      <c r="I32" s="7">
        <f t="shared" si="4"/>
        <v>4.0028802892740085</v>
      </c>
    </row>
    <row r="33" spans="1:15">
      <c r="A33" s="1" t="s">
        <v>46</v>
      </c>
      <c r="B33" s="1">
        <v>240</v>
      </c>
      <c r="C33" s="2">
        <v>4.1845071000000003</v>
      </c>
      <c r="D33" s="4">
        <f t="shared" si="0"/>
        <v>4.16723</v>
      </c>
      <c r="E33" s="2"/>
      <c r="F33" s="9"/>
      <c r="H33" s="7">
        <f t="shared" si="3"/>
        <v>4.1883137515903224</v>
      </c>
      <c r="I33" s="7">
        <f t="shared" si="4"/>
        <v>4.1883137515903224</v>
      </c>
    </row>
    <row r="34" spans="1:15">
      <c r="A34" s="1" t="s">
        <v>50</v>
      </c>
      <c r="B34" s="1">
        <v>250</v>
      </c>
      <c r="C34" s="2">
        <v>4.3531667000000001</v>
      </c>
      <c r="D34" s="4">
        <f>B34*0.01845-0.26077</f>
        <v>4.3517300000000008</v>
      </c>
      <c r="E34" s="2"/>
      <c r="F34" s="9"/>
      <c r="H34" s="7"/>
      <c r="I34" s="7"/>
    </row>
    <row r="35" spans="1:15">
      <c r="A35" s="1" t="s">
        <v>51</v>
      </c>
      <c r="B35" s="1">
        <v>260</v>
      </c>
      <c r="C35" s="2">
        <v>4.5419862999999996</v>
      </c>
      <c r="D35" s="4">
        <f t="shared" si="0"/>
        <v>4.5362300000000007</v>
      </c>
      <c r="E35" s="2"/>
      <c r="F35" s="9"/>
      <c r="H35" s="7"/>
      <c r="I35" s="7"/>
    </row>
    <row r="36" spans="1:15">
      <c r="A36" s="1" t="s">
        <v>52</v>
      </c>
      <c r="B36" s="1">
        <v>270</v>
      </c>
      <c r="C36" s="2">
        <v>4.7266870000000001</v>
      </c>
      <c r="D36" s="4">
        <f t="shared" si="0"/>
        <v>4.7207300000000005</v>
      </c>
      <c r="E36" s="2"/>
      <c r="F36" s="9"/>
      <c r="H36" s="7"/>
      <c r="I36" s="7"/>
    </row>
    <row r="37" spans="1:15">
      <c r="A37" s="1" t="s">
        <v>53</v>
      </c>
      <c r="B37" s="1">
        <v>280</v>
      </c>
      <c r="C37" s="2">
        <v>4.9302609000000004</v>
      </c>
      <c r="D37" s="4">
        <f t="shared" si="0"/>
        <v>4.9052300000000004</v>
      </c>
      <c r="E37" s="2"/>
      <c r="F37" s="9"/>
      <c r="H37" s="7"/>
      <c r="I37" s="7"/>
    </row>
    <row r="38" spans="1:15">
      <c r="A38" s="1" t="s">
        <v>54</v>
      </c>
      <c r="B38" s="1">
        <v>290</v>
      </c>
      <c r="C38" s="2">
        <v>5.0959688999999999</v>
      </c>
      <c r="D38" s="4">
        <f t="shared" si="0"/>
        <v>5.0897300000000003</v>
      </c>
      <c r="E38" s="2"/>
      <c r="F38" s="9"/>
      <c r="H38" s="7"/>
      <c r="I38" s="7"/>
    </row>
    <row r="39" spans="1:15">
      <c r="A39" s="1" t="s">
        <v>55</v>
      </c>
      <c r="B39" s="1">
        <v>300</v>
      </c>
      <c r="C39" s="2">
        <v>5.2809849</v>
      </c>
      <c r="D39" s="4">
        <f t="shared" si="0"/>
        <v>5.2742300000000002</v>
      </c>
      <c r="E39" s="2"/>
      <c r="F39" s="9"/>
      <c r="H39" s="7"/>
      <c r="I39" s="7"/>
    </row>
    <row r="40" spans="1:15">
      <c r="A40" s="1" t="s">
        <v>56</v>
      </c>
      <c r="B40" s="1">
        <v>310</v>
      </c>
      <c r="C40" s="2">
        <v>5.4746810999999997</v>
      </c>
      <c r="D40" s="4">
        <f t="shared" si="0"/>
        <v>5.4587300000000001</v>
      </c>
      <c r="E40" s="2"/>
      <c r="F40" s="9"/>
      <c r="H40" s="7"/>
      <c r="I40" s="7"/>
    </row>
    <row r="41" spans="1:15">
      <c r="A41" s="1" t="s">
        <v>57</v>
      </c>
      <c r="B41" s="1">
        <v>320</v>
      </c>
      <c r="C41" s="2">
        <v>5.6483144999999997</v>
      </c>
      <c r="D41" s="4">
        <f t="shared" si="0"/>
        <v>5.64323</v>
      </c>
      <c r="E41" s="2"/>
      <c r="F41" s="9"/>
      <c r="H41" s="7"/>
      <c r="I41" s="7"/>
      <c r="O41" s="14"/>
    </row>
    <row r="42" spans="1:15">
      <c r="A42" s="1" t="s">
        <v>58</v>
      </c>
      <c r="B42" s="1">
        <v>350</v>
      </c>
      <c r="C42" s="2">
        <v>6.2143924999999998</v>
      </c>
      <c r="D42" s="4">
        <f t="shared" si="0"/>
        <v>6.1967300000000005</v>
      </c>
      <c r="E42" s="2"/>
      <c r="F42" s="9"/>
      <c r="H42" s="7"/>
      <c r="I42" s="7"/>
    </row>
    <row r="43" spans="1:15">
      <c r="B43" s="1"/>
      <c r="C43" s="2"/>
      <c r="D43" s="4"/>
      <c r="E43" s="2"/>
      <c r="F43" s="9"/>
      <c r="H43" s="7"/>
      <c r="I43" s="7"/>
    </row>
    <row r="44" spans="1:15">
      <c r="B44" s="1"/>
      <c r="C44" s="2"/>
      <c r="D44" s="4"/>
      <c r="E44" s="2"/>
      <c r="F44" s="9"/>
      <c r="H44" s="7"/>
      <c r="I44" s="7"/>
    </row>
    <row r="45" spans="1:15">
      <c r="B45" s="1"/>
      <c r="C45" s="2"/>
      <c r="D45" s="4"/>
      <c r="E45" s="2"/>
      <c r="F45" s="9"/>
      <c r="H45" s="7"/>
      <c r="I45" s="7"/>
    </row>
    <row r="46" spans="1:15">
      <c r="B46" s="1"/>
      <c r="C46" s="2"/>
      <c r="D46" s="4"/>
      <c r="E46" s="2"/>
      <c r="F46" s="9"/>
      <c r="H46" s="7"/>
      <c r="I46" s="7"/>
    </row>
    <row r="47" spans="1:15">
      <c r="B47" s="1"/>
      <c r="C47" s="2"/>
      <c r="D47" s="4"/>
      <c r="E47" s="2"/>
      <c r="F47" s="9"/>
      <c r="H47" s="7"/>
      <c r="I47" s="7"/>
    </row>
    <row r="48" spans="1:15">
      <c r="B48" s="1"/>
      <c r="C48" s="2"/>
      <c r="D48" s="4"/>
      <c r="E48" s="2"/>
      <c r="F48" s="9"/>
      <c r="H48" s="7"/>
      <c r="I48" s="7"/>
    </row>
    <row r="49" spans="2:9">
      <c r="B49" s="1"/>
      <c r="C49" s="2"/>
      <c r="D49" s="4"/>
      <c r="E49" s="2"/>
      <c r="F49" s="9"/>
      <c r="H49" s="7"/>
      <c r="I49" s="7"/>
    </row>
    <row r="50" spans="2:9">
      <c r="B50" s="1"/>
      <c r="C50" s="2"/>
      <c r="D50" s="4"/>
      <c r="E50" s="2"/>
      <c r="F50" s="9"/>
      <c r="H50" s="7"/>
      <c r="I50" s="7"/>
    </row>
    <row r="51" spans="2:9">
      <c r="B51" s="1"/>
      <c r="C51" s="2"/>
      <c r="D51" s="4"/>
      <c r="E51" s="2"/>
      <c r="F51" s="9"/>
      <c r="H51" s="7"/>
      <c r="I51" s="7"/>
    </row>
    <row r="52" spans="2:9">
      <c r="B52" s="1"/>
      <c r="C52" s="2"/>
      <c r="D52" s="4"/>
      <c r="E52" s="2"/>
      <c r="F52" s="9"/>
      <c r="H52" s="7"/>
      <c r="I52" s="7"/>
    </row>
    <row r="53" spans="2:9">
      <c r="B53" s="1"/>
      <c r="C53" s="2"/>
      <c r="D53" s="4"/>
      <c r="E53" s="2"/>
      <c r="F53" s="9"/>
      <c r="H53" s="7"/>
      <c r="I53" s="7"/>
    </row>
    <row r="54" spans="2:9">
      <c r="B54" s="1"/>
      <c r="C54" s="2"/>
      <c r="D54" s="4"/>
      <c r="E54" s="2"/>
      <c r="F54" s="9"/>
      <c r="H54" s="7"/>
      <c r="I54" s="7"/>
    </row>
    <row r="55" spans="2:9">
      <c r="B55" s="1"/>
      <c r="C55" s="2"/>
      <c r="D55" s="4"/>
      <c r="E55" s="2"/>
      <c r="F55" s="9"/>
      <c r="H55" s="7"/>
      <c r="I55" s="7"/>
    </row>
    <row r="56" spans="2:9">
      <c r="B56" s="1"/>
      <c r="C56" s="2"/>
      <c r="D56" s="4"/>
      <c r="E56" s="2"/>
      <c r="F56" s="9"/>
      <c r="H56" s="7"/>
      <c r="I56" s="7"/>
    </row>
    <row r="57" spans="2:9">
      <c r="B57" s="1"/>
      <c r="C57" s="2"/>
      <c r="D57" s="4"/>
      <c r="E57" s="2"/>
      <c r="F57" s="9"/>
      <c r="H57" s="7"/>
      <c r="I57" s="7"/>
    </row>
    <row r="58" spans="2:9">
      <c r="B58" s="1"/>
      <c r="C58" s="2"/>
      <c r="D58" s="4"/>
      <c r="E58" s="2"/>
      <c r="F58" s="9"/>
      <c r="H58" s="7"/>
      <c r="I58" s="7"/>
    </row>
    <row r="59" spans="2:9">
      <c r="B59" s="1"/>
      <c r="C59" s="2"/>
      <c r="D59" s="4"/>
      <c r="E59" s="2"/>
      <c r="F59" s="9"/>
      <c r="H59" s="11"/>
      <c r="I59" s="11"/>
    </row>
    <row r="60" spans="2:9">
      <c r="B60" s="1"/>
      <c r="C60" s="2"/>
      <c r="D60" s="4"/>
      <c r="E60" s="2"/>
      <c r="F60" s="9"/>
      <c r="H60" s="11"/>
      <c r="I60" s="11"/>
    </row>
    <row r="61" spans="2:9">
      <c r="B61" s="1"/>
      <c r="C61" s="2"/>
      <c r="D61" s="4"/>
      <c r="E61" s="2"/>
      <c r="F61" s="9"/>
      <c r="H61" s="11"/>
      <c r="I61" s="11"/>
    </row>
    <row r="62" spans="2:9">
      <c r="B62" s="1"/>
      <c r="C62" s="2"/>
      <c r="D62" s="4"/>
      <c r="E62" s="2"/>
      <c r="F62" s="9"/>
      <c r="H62" s="11"/>
      <c r="I62" s="11"/>
    </row>
    <row r="63" spans="2:9">
      <c r="B63" s="1"/>
      <c r="C63" s="2"/>
      <c r="D63" s="4"/>
      <c r="E63" s="2"/>
      <c r="F63" s="9"/>
      <c r="H63" s="11"/>
      <c r="I63" s="11"/>
    </row>
    <row r="64" spans="2:9">
      <c r="B64" s="1"/>
      <c r="C64" s="2"/>
      <c r="D64" s="4"/>
      <c r="E64" s="2"/>
      <c r="F64" s="9"/>
      <c r="H64" s="11"/>
      <c r="I64" s="11"/>
    </row>
    <row r="65" spans="2:9">
      <c r="B65" s="1"/>
      <c r="C65" s="2"/>
      <c r="D65" s="4"/>
      <c r="E65" s="2"/>
      <c r="F65" s="9"/>
      <c r="H65" s="11"/>
      <c r="I65" s="11"/>
    </row>
    <row r="66" spans="2:9">
      <c r="B66" s="1"/>
      <c r="C66" s="2"/>
      <c r="D66" s="4"/>
      <c r="E66" s="2"/>
      <c r="F66" s="9"/>
      <c r="H66" s="11"/>
      <c r="I66" s="11"/>
    </row>
    <row r="67" spans="2:9">
      <c r="B67" s="1"/>
      <c r="C67" s="2"/>
      <c r="D67" s="4"/>
      <c r="E67" s="2"/>
      <c r="F67" s="9"/>
      <c r="H67" s="11"/>
      <c r="I67" s="11"/>
    </row>
    <row r="68" spans="2:9">
      <c r="B68" s="1"/>
      <c r="C68" s="2"/>
      <c r="D68" s="4"/>
      <c r="E68" s="2"/>
      <c r="F68" s="9"/>
      <c r="H68" s="11"/>
      <c r="I68" s="11"/>
    </row>
    <row r="69" spans="2:9">
      <c r="B69" s="1"/>
      <c r="C69" s="2"/>
      <c r="D69" s="4"/>
      <c r="E69" s="2"/>
      <c r="F69" s="9"/>
      <c r="H69" s="11"/>
      <c r="I69" s="11"/>
    </row>
    <row r="70" spans="2:9">
      <c r="B70" s="1"/>
      <c r="C70" s="2"/>
      <c r="D70" s="4"/>
      <c r="E70" s="2"/>
      <c r="F70" s="9"/>
      <c r="H70" s="11"/>
      <c r="I70" s="11"/>
    </row>
    <row r="71" spans="2:9">
      <c r="B71" s="1"/>
      <c r="C71" s="2"/>
      <c r="D71" s="4"/>
      <c r="E71" s="2"/>
      <c r="F71" s="9"/>
      <c r="H71" s="11"/>
      <c r="I71" s="11"/>
    </row>
    <row r="72" spans="2:9">
      <c r="B72" s="1"/>
      <c r="C72" s="2"/>
      <c r="D72" s="4"/>
      <c r="E72" s="2"/>
      <c r="F72" s="9"/>
      <c r="H72" s="11"/>
      <c r="I72" s="11"/>
    </row>
    <row r="73" spans="2:9">
      <c r="B73" s="1"/>
      <c r="C73" s="2"/>
      <c r="D73" s="4"/>
      <c r="E73" s="2"/>
      <c r="F73" s="9"/>
      <c r="H73" s="11"/>
      <c r="I73" s="11"/>
    </row>
    <row r="74" spans="2:9">
      <c r="B74" s="1"/>
      <c r="C74" s="2"/>
      <c r="D74" s="4"/>
      <c r="E74" s="2"/>
      <c r="F74" s="9"/>
      <c r="H74" s="11"/>
      <c r="I74" s="11"/>
    </row>
    <row r="75" spans="2:9">
      <c r="B75" s="1"/>
      <c r="C75" s="2"/>
      <c r="D75" s="4"/>
      <c r="E75" s="2"/>
      <c r="F75" s="9"/>
      <c r="H75" s="11"/>
      <c r="I75" s="11"/>
    </row>
    <row r="76" spans="2:9">
      <c r="B76" s="1"/>
      <c r="C76" s="2"/>
      <c r="D76" s="4"/>
      <c r="E76" s="2"/>
      <c r="F76" s="9"/>
      <c r="H76" s="11"/>
      <c r="I76" s="11"/>
    </row>
    <row r="77" spans="2:9">
      <c r="B77" s="1"/>
      <c r="C77" s="2"/>
      <c r="D77" s="4"/>
      <c r="E77" s="2"/>
      <c r="F77" s="9"/>
      <c r="H77" s="11"/>
      <c r="I77" s="11"/>
    </row>
    <row r="78" spans="2:9">
      <c r="B78" s="1"/>
      <c r="C78" s="2"/>
      <c r="D78" s="4"/>
      <c r="E78" s="2"/>
      <c r="F78" s="9"/>
      <c r="H78" s="11"/>
      <c r="I78" s="11"/>
    </row>
    <row r="79" spans="2:9">
      <c r="B79" s="1"/>
      <c r="C79" s="3"/>
      <c r="D79" s="2"/>
    </row>
    <row r="80" spans="2:9">
      <c r="B80" s="1"/>
      <c r="D80" s="2"/>
    </row>
    <row r="81" spans="2:4">
      <c r="B81" s="1"/>
      <c r="D81" s="2"/>
    </row>
    <row r="82" spans="2:4">
      <c r="B82" s="1"/>
      <c r="D82" s="2"/>
    </row>
    <row r="83" spans="2:4">
      <c r="B83" s="1"/>
      <c r="D83" s="2"/>
    </row>
    <row r="84" spans="2:4">
      <c r="B84" s="1"/>
      <c r="D84" s="2"/>
    </row>
    <row r="85" spans="2:4">
      <c r="B85" s="1"/>
      <c r="D85" s="2"/>
    </row>
    <row r="86" spans="2:4">
      <c r="B86" s="1"/>
      <c r="D86" s="2"/>
    </row>
    <row r="87" spans="2:4">
      <c r="B87" s="1"/>
      <c r="D87" s="2"/>
    </row>
    <row r="88" spans="2:4">
      <c r="B88" s="1"/>
      <c r="D88" s="2"/>
    </row>
    <row r="89" spans="2:4">
      <c r="B89" s="1"/>
      <c r="D89" s="2"/>
    </row>
    <row r="90" spans="2:4">
      <c r="B90" s="1"/>
      <c r="D90" s="2"/>
    </row>
    <row r="91" spans="2:4">
      <c r="B91" s="1"/>
      <c r="D91" s="2"/>
    </row>
    <row r="92" spans="2:4">
      <c r="B92" s="1"/>
      <c r="D92" s="2"/>
    </row>
    <row r="93" spans="2:4">
      <c r="B93" s="1"/>
      <c r="D93" s="2"/>
    </row>
    <row r="94" spans="2:4">
      <c r="B94" s="1"/>
      <c r="D94" s="2"/>
    </row>
    <row r="95" spans="2:4">
      <c r="B95" s="1"/>
      <c r="D95" s="2"/>
    </row>
    <row r="96" spans="2:4">
      <c r="B96" s="1"/>
      <c r="D96" s="2"/>
    </row>
    <row r="97" spans="2:4">
      <c r="B97" s="1"/>
      <c r="D97" s="2"/>
    </row>
    <row r="98" spans="2:4">
      <c r="B98" s="1"/>
      <c r="D98" s="2"/>
    </row>
    <row r="99" spans="2:4">
      <c r="B99" s="1"/>
      <c r="D99" s="2"/>
    </row>
    <row r="100" spans="2:4">
      <c r="B100" s="1"/>
      <c r="D100" s="2"/>
    </row>
    <row r="101" spans="2:4">
      <c r="B101" s="1"/>
      <c r="D101" s="2"/>
    </row>
    <row r="102" spans="2:4">
      <c r="B102" s="1"/>
      <c r="D102" s="2"/>
    </row>
  </sheetData>
  <mergeCells count="2">
    <mergeCell ref="A1:E1"/>
    <mergeCell ref="H1:I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4"/>
  <sheetViews>
    <sheetView view="pageBreakPreview" topLeftCell="A8" zoomScaleNormal="100" zoomScaleSheetLayoutView="100" workbookViewId="0">
      <selection activeCell="H34" sqref="H34"/>
    </sheetView>
  </sheetViews>
  <sheetFormatPr defaultColWidth="8" defaultRowHeight="15" customHeight="1"/>
  <cols>
    <col min="1" max="9" width="7.6640625" style="17" customWidth="1"/>
    <col min="10" max="11" width="8" style="17"/>
    <col min="12" max="12" width="9" style="17" bestFit="1" customWidth="1"/>
    <col min="13" max="16384" width="8" style="17"/>
  </cols>
  <sheetData>
    <row r="1" spans="1:8" ht="15" customHeight="1">
      <c r="A1" s="16"/>
    </row>
    <row r="2" spans="1:8" ht="15" customHeight="1">
      <c r="A2" s="16" t="s">
        <v>59</v>
      </c>
      <c r="H2" s="17" t="s">
        <v>60</v>
      </c>
    </row>
    <row r="5" spans="1:8" ht="15" customHeight="1">
      <c r="A5" s="18"/>
    </row>
    <row r="9" spans="1:8" ht="15" customHeight="1">
      <c r="A9" s="18"/>
    </row>
    <row r="13" spans="1:8" ht="15" customHeight="1">
      <c r="A13" s="18"/>
    </row>
    <row r="17" spans="1:9" ht="15" customHeight="1">
      <c r="A17" s="18"/>
    </row>
    <row r="18" spans="1:9" ht="15" customHeight="1" thickBot="1">
      <c r="A18" s="18" t="s">
        <v>61</v>
      </c>
    </row>
    <row r="19" spans="1:9" ht="15" customHeight="1" thickBot="1">
      <c r="A19" s="51" t="s">
        <v>62</v>
      </c>
      <c r="B19" s="54" t="s">
        <v>63</v>
      </c>
      <c r="C19" s="54"/>
      <c r="D19" s="54"/>
      <c r="E19" s="54"/>
      <c r="F19" s="55"/>
      <c r="G19" s="55"/>
      <c r="H19" s="55"/>
      <c r="I19" s="56"/>
    </row>
    <row r="20" spans="1:9" ht="15" customHeight="1" thickBot="1">
      <c r="A20" s="52"/>
      <c r="B20" s="57" t="s">
        <v>64</v>
      </c>
      <c r="C20" s="58"/>
      <c r="D20" s="58"/>
      <c r="E20" s="59"/>
      <c r="F20" s="57" t="s">
        <v>65</v>
      </c>
      <c r="G20" s="58"/>
      <c r="H20" s="60"/>
      <c r="I20" s="59"/>
    </row>
    <row r="21" spans="1:9" ht="15" customHeight="1">
      <c r="A21" s="53"/>
      <c r="B21" s="19" t="s">
        <v>66</v>
      </c>
      <c r="C21" s="20" t="s">
        <v>67</v>
      </c>
      <c r="D21" s="20" t="s">
        <v>68</v>
      </c>
      <c r="E21" s="21" t="s">
        <v>69</v>
      </c>
      <c r="F21" s="46" t="s">
        <v>66</v>
      </c>
      <c r="G21" s="47" t="s">
        <v>67</v>
      </c>
      <c r="H21" s="47" t="s">
        <v>68</v>
      </c>
      <c r="I21" s="48" t="s">
        <v>69</v>
      </c>
    </row>
    <row r="22" spans="1:9" ht="15" customHeight="1" thickBot="1">
      <c r="A22" s="22" t="s">
        <v>70</v>
      </c>
      <c r="B22" s="23" t="s">
        <v>70</v>
      </c>
      <c r="C22" s="24" t="s">
        <v>71</v>
      </c>
      <c r="D22" s="24" t="s">
        <v>71</v>
      </c>
      <c r="E22" s="25" t="s">
        <v>71</v>
      </c>
      <c r="F22" s="23" t="s">
        <v>70</v>
      </c>
      <c r="G22" s="24" t="s">
        <v>71</v>
      </c>
      <c r="H22" s="24" t="s">
        <v>71</v>
      </c>
      <c r="I22" s="26" t="s">
        <v>71</v>
      </c>
    </row>
    <row r="23" spans="1:9" s="32" customFormat="1" ht="15" customHeight="1">
      <c r="A23" s="27">
        <v>0</v>
      </c>
      <c r="B23" s="28">
        <f>A23</f>
        <v>0</v>
      </c>
      <c r="C23" s="29">
        <v>-3.1795000000000003E-5</v>
      </c>
      <c r="D23" s="29">
        <v>2.6562487000000002E-3</v>
      </c>
      <c r="E23" s="30">
        <v>1.4140188E-2</v>
      </c>
      <c r="F23" s="28">
        <f>A23</f>
        <v>0</v>
      </c>
      <c r="G23" s="29">
        <v>2.6424E-4</v>
      </c>
      <c r="H23" s="29">
        <v>1.0730287999999999E-2</v>
      </c>
      <c r="I23" s="31">
        <v>5.1564869999999999E-2</v>
      </c>
    </row>
    <row r="24" spans="1:9" s="32" customFormat="1" ht="15" customHeight="1">
      <c r="A24" s="27">
        <v>0.10822999999999999</v>
      </c>
      <c r="B24" s="33">
        <f>A24</f>
        <v>0.10822999999999999</v>
      </c>
      <c r="C24" s="34">
        <v>-2.0816125000000001E-4</v>
      </c>
      <c r="D24" s="29">
        <v>2.6440284999999998E-3</v>
      </c>
      <c r="E24" s="30">
        <v>1.2735269E-2</v>
      </c>
      <c r="F24" s="33">
        <f>A24</f>
        <v>0.10822999999999999</v>
      </c>
      <c r="G24" s="29">
        <v>-1.3454499999999999E-4</v>
      </c>
      <c r="H24" s="29">
        <v>1.0829559000000001E-2</v>
      </c>
      <c r="I24" s="31">
        <v>4.7070439999999998E-2</v>
      </c>
    </row>
    <row r="25" spans="1:9" s="32" customFormat="1" ht="15" customHeight="1">
      <c r="A25" s="27">
        <v>0.29272999999999999</v>
      </c>
      <c r="B25" s="33">
        <f t="shared" ref="B25:B59" si="0">A25</f>
        <v>0.29272999999999999</v>
      </c>
      <c r="C25" s="34">
        <v>-1.4440000000000001E-4</v>
      </c>
      <c r="D25" s="29">
        <v>2.6825301999999999E-3</v>
      </c>
      <c r="E25" s="30">
        <v>1.5776508000000002E-2</v>
      </c>
      <c r="F25" s="28">
        <f t="shared" ref="F25:F59" si="1">A25</f>
        <v>0.29272999999999999</v>
      </c>
      <c r="G25" s="29">
        <v>-1.6867900000000001E-3</v>
      </c>
      <c r="H25" s="29">
        <v>1.0765708000000001E-2</v>
      </c>
      <c r="I25" s="31">
        <v>5.6040230000000003E-2</v>
      </c>
    </row>
    <row r="26" spans="1:9" s="32" customFormat="1" ht="15" customHeight="1">
      <c r="A26" s="27">
        <v>0.47722999999999999</v>
      </c>
      <c r="B26" s="33">
        <f t="shared" si="0"/>
        <v>0.47722999999999999</v>
      </c>
      <c r="C26" s="34">
        <v>5.2916249999999997E-5</v>
      </c>
      <c r="D26" s="29">
        <v>2.7858005999999999E-3</v>
      </c>
      <c r="E26" s="30">
        <v>1.5579190999999999E-2</v>
      </c>
      <c r="F26" s="33">
        <f t="shared" si="1"/>
        <v>0.47722999999999999</v>
      </c>
      <c r="G26" s="29">
        <v>-1.700195E-3</v>
      </c>
      <c r="H26" s="29">
        <v>1.0669711E-2</v>
      </c>
      <c r="I26" s="31">
        <v>5.428504E-2</v>
      </c>
    </row>
    <row r="27" spans="1:9" s="32" customFormat="1" ht="15" customHeight="1">
      <c r="A27" s="27">
        <v>0.56947999999999999</v>
      </c>
      <c r="B27" s="33">
        <f t="shared" si="0"/>
        <v>0.56947999999999999</v>
      </c>
      <c r="C27" s="34">
        <v>-4.8250000000000001E-5</v>
      </c>
      <c r="D27" s="29">
        <v>3.0350689E-3</v>
      </c>
      <c r="E27" s="30">
        <v>1.6557858000000002E-2</v>
      </c>
      <c r="F27" s="28">
        <f t="shared" si="1"/>
        <v>0.56947999999999999</v>
      </c>
      <c r="G27" s="29">
        <v>-2.5839700000000001E-3</v>
      </c>
      <c r="H27" s="29">
        <v>1.0722337E-2</v>
      </c>
      <c r="I27" s="31">
        <v>5.3697290000000002E-2</v>
      </c>
    </row>
    <row r="28" spans="1:9" s="32" customFormat="1" ht="15" customHeight="1">
      <c r="A28" s="27">
        <v>0.66173000000000015</v>
      </c>
      <c r="B28" s="33">
        <f t="shared" si="0"/>
        <v>0.66173000000000015</v>
      </c>
      <c r="C28" s="34">
        <v>2.40435E-4</v>
      </c>
      <c r="D28" s="29">
        <v>3.0336248999999998E-3</v>
      </c>
      <c r="E28" s="30">
        <v>1.7863957999999999E-2</v>
      </c>
      <c r="F28" s="33">
        <f t="shared" si="1"/>
        <v>0.66173000000000015</v>
      </c>
      <c r="G28" s="29">
        <v>-3.1414300000000002E-3</v>
      </c>
      <c r="H28" s="29">
        <v>1.0585069000000001E-2</v>
      </c>
      <c r="I28" s="31">
        <v>5.5439509999999997E-2</v>
      </c>
    </row>
    <row r="29" spans="1:9" s="32" customFormat="1" ht="15" customHeight="1">
      <c r="A29" s="27">
        <v>0.75398000000000009</v>
      </c>
      <c r="B29" s="33">
        <f t="shared" si="0"/>
        <v>0.75398000000000009</v>
      </c>
      <c r="C29" s="34">
        <v>1.7875875000000001E-4</v>
      </c>
      <c r="D29" s="29">
        <v>4.9217743E-3</v>
      </c>
      <c r="E29" s="30">
        <v>2.0340349000000001E-2</v>
      </c>
      <c r="F29" s="28">
        <f t="shared" si="1"/>
        <v>0.75398000000000009</v>
      </c>
      <c r="G29" s="29">
        <v>-3.8620249999999998E-3</v>
      </c>
      <c r="H29" s="29">
        <v>1.0962914000000001E-2</v>
      </c>
      <c r="I29" s="31">
        <v>5.8035400000000001E-2</v>
      </c>
    </row>
    <row r="30" spans="1:9" s="32" customFormat="1" ht="15" customHeight="1">
      <c r="A30" s="27">
        <v>0.84623000000000004</v>
      </c>
      <c r="B30" s="33">
        <f t="shared" si="0"/>
        <v>0.84623000000000004</v>
      </c>
      <c r="C30" s="34">
        <v>-2.0832238000000002E-3</v>
      </c>
      <c r="D30" s="29">
        <v>0.22134623</v>
      </c>
      <c r="E30" s="30">
        <v>0.32620382999999997</v>
      </c>
      <c r="F30" s="33">
        <f t="shared" si="1"/>
        <v>0.84623000000000004</v>
      </c>
      <c r="G30" s="29">
        <v>2.6913695000000001E-2</v>
      </c>
      <c r="H30" s="29">
        <v>2.3124295999999999E-2</v>
      </c>
      <c r="I30" s="31">
        <v>4.6737260000000003E-2</v>
      </c>
    </row>
    <row r="31" spans="1:9" s="32" customFormat="1" ht="15" customHeight="1">
      <c r="A31" s="27">
        <v>0.9384800000000002</v>
      </c>
      <c r="B31" s="33">
        <f t="shared" si="0"/>
        <v>0.9384800000000002</v>
      </c>
      <c r="C31" s="34">
        <v>-2.3841988E-3</v>
      </c>
      <c r="D31" s="29">
        <v>0.27583862999999997</v>
      </c>
      <c r="E31" s="30">
        <v>0.40417030999999998</v>
      </c>
      <c r="F31" s="28">
        <f t="shared" si="1"/>
        <v>0.9384800000000002</v>
      </c>
      <c r="G31" s="29">
        <v>3.5436404999999997E-2</v>
      </c>
      <c r="H31" s="29">
        <v>2.2421347000000001E-2</v>
      </c>
      <c r="I31" s="31">
        <v>3.330984E-2</v>
      </c>
    </row>
    <row r="32" spans="1:9" s="32" customFormat="1" ht="15" customHeight="1">
      <c r="A32" s="27">
        <v>1.0307300000000001</v>
      </c>
      <c r="B32" s="33">
        <f t="shared" si="0"/>
        <v>1.0307300000000001</v>
      </c>
      <c r="C32" s="34">
        <v>-3.5786899999999998E-3</v>
      </c>
      <c r="D32" s="29">
        <v>0.27393756000000002</v>
      </c>
      <c r="E32" s="30">
        <v>0.40562308000000002</v>
      </c>
      <c r="F32" s="33">
        <f t="shared" si="1"/>
        <v>1.0307300000000001</v>
      </c>
      <c r="G32" s="29">
        <v>3.5010939999999997E-2</v>
      </c>
      <c r="H32" s="29">
        <v>2.2111008000000001E-2</v>
      </c>
      <c r="I32" s="31">
        <v>4.3016770000000003E-2</v>
      </c>
    </row>
    <row r="33" spans="1:9" s="32" customFormat="1" ht="15" customHeight="1">
      <c r="A33" s="27">
        <v>1.1229800000000001</v>
      </c>
      <c r="B33" s="33">
        <f t="shared" si="0"/>
        <v>1.1229800000000001</v>
      </c>
      <c r="C33" s="34">
        <v>-2.7928474999999999E-3</v>
      </c>
      <c r="D33" s="29">
        <v>0.14766327000000001</v>
      </c>
      <c r="E33" s="30">
        <v>0.25233946000000002</v>
      </c>
      <c r="F33" s="28">
        <f t="shared" si="1"/>
        <v>1.1229800000000001</v>
      </c>
      <c r="G33" s="29">
        <v>4.1970790000000001E-2</v>
      </c>
      <c r="H33" s="29">
        <v>2.7155051999999999E-2</v>
      </c>
      <c r="I33" s="31">
        <v>4.8645069999999999E-2</v>
      </c>
    </row>
    <row r="34" spans="1:9" s="32" customFormat="1" ht="15" customHeight="1">
      <c r="A34" s="27">
        <v>1.21523</v>
      </c>
      <c r="B34" s="33">
        <f t="shared" si="0"/>
        <v>1.21523</v>
      </c>
      <c r="C34" s="34">
        <v>1.1973475E-3</v>
      </c>
      <c r="D34" s="29">
        <v>4.9283832E-2</v>
      </c>
      <c r="E34" s="30">
        <v>9.8568544999999994E-2</v>
      </c>
      <c r="F34" s="33">
        <f t="shared" si="1"/>
        <v>1.21523</v>
      </c>
      <c r="G34" s="29">
        <v>2.9474920000000002E-2</v>
      </c>
      <c r="H34" s="29">
        <v>0.17845854</v>
      </c>
      <c r="I34" s="31">
        <v>0.24049681000000001</v>
      </c>
    </row>
    <row r="35" spans="1:9" s="32" customFormat="1" ht="15" customHeight="1">
      <c r="A35" s="27">
        <v>1.3074800000000002</v>
      </c>
      <c r="B35" s="33">
        <f t="shared" si="0"/>
        <v>1.3074800000000002</v>
      </c>
      <c r="C35" s="34">
        <v>1.5611525000000001E-3</v>
      </c>
      <c r="D35" s="29">
        <v>5.8140483999999999E-2</v>
      </c>
      <c r="E35" s="30">
        <v>0.10664224</v>
      </c>
      <c r="F35" s="28">
        <f t="shared" si="1"/>
        <v>1.3074800000000002</v>
      </c>
      <c r="G35" s="29">
        <v>2.9497990000000002E-2</v>
      </c>
      <c r="H35" s="29">
        <v>0.21558187000000001</v>
      </c>
      <c r="I35" s="31">
        <v>0.31858867000000002</v>
      </c>
    </row>
    <row r="36" spans="1:9" s="32" customFormat="1" ht="15" customHeight="1">
      <c r="A36" s="27">
        <v>1.3997300000000001</v>
      </c>
      <c r="B36" s="33">
        <f t="shared" si="0"/>
        <v>1.3997300000000001</v>
      </c>
      <c r="C36" s="34">
        <v>1.4740112E-3</v>
      </c>
      <c r="D36" s="29">
        <v>5.4361037000000001E-2</v>
      </c>
      <c r="E36" s="30">
        <v>0.10406988</v>
      </c>
      <c r="F36" s="33">
        <f t="shared" si="1"/>
        <v>1.3997300000000001</v>
      </c>
      <c r="G36" s="29">
        <v>2.8112084999999998E-2</v>
      </c>
      <c r="H36" s="29">
        <v>0.20435607</v>
      </c>
      <c r="I36" s="31">
        <v>0.28588247999999999</v>
      </c>
    </row>
    <row r="37" spans="1:9" s="32" customFormat="1" ht="15" customHeight="1">
      <c r="A37" s="27">
        <v>1.4919800000000001</v>
      </c>
      <c r="B37" s="33">
        <f t="shared" si="0"/>
        <v>1.4919800000000001</v>
      </c>
      <c r="C37" s="34">
        <v>-7.2597575000000001E-3</v>
      </c>
      <c r="D37" s="29">
        <v>3.1475325999999998E-2</v>
      </c>
      <c r="E37" s="30">
        <v>8.3508650000000004E-2</v>
      </c>
      <c r="F37" s="28">
        <f t="shared" si="1"/>
        <v>1.4919800000000001</v>
      </c>
      <c r="G37" s="29">
        <v>4.5459970000000002E-2</v>
      </c>
      <c r="H37" s="29">
        <v>0.11941868</v>
      </c>
      <c r="I37" s="31">
        <v>0.17661271000000001</v>
      </c>
    </row>
    <row r="38" spans="1:9" s="32" customFormat="1" ht="15" customHeight="1">
      <c r="A38" s="27">
        <v>1.5842300000000002</v>
      </c>
      <c r="B38" s="33">
        <f t="shared" si="0"/>
        <v>1.5842300000000002</v>
      </c>
      <c r="C38" s="34">
        <v>-2.3307687999999998E-3</v>
      </c>
      <c r="D38" s="29">
        <v>1.4926887999999999E-2</v>
      </c>
      <c r="E38" s="30">
        <v>5.0362876000000001E-2</v>
      </c>
      <c r="F38" s="33">
        <f t="shared" si="1"/>
        <v>1.5842300000000002</v>
      </c>
      <c r="G38" s="29">
        <v>2.0465500000000001E-4</v>
      </c>
      <c r="H38" s="29">
        <v>1.5057241000000001E-2</v>
      </c>
      <c r="I38" s="31">
        <v>5.9331340000000003E-2</v>
      </c>
    </row>
    <row r="39" spans="1:9" s="32" customFormat="1" ht="15" customHeight="1">
      <c r="A39" s="27">
        <v>1.6764800000000002</v>
      </c>
      <c r="B39" s="33">
        <f t="shared" si="0"/>
        <v>1.6764800000000002</v>
      </c>
      <c r="C39" s="34">
        <v>-9.8759874999999994E-4</v>
      </c>
      <c r="D39" s="29">
        <v>1.6869105999999998E-2</v>
      </c>
      <c r="E39" s="30">
        <v>6.9877205999999997E-2</v>
      </c>
      <c r="F39" s="28">
        <f t="shared" si="1"/>
        <v>1.6764800000000002</v>
      </c>
      <c r="G39" s="29">
        <v>-1.8688050000000001E-3</v>
      </c>
      <c r="H39" s="29">
        <v>1.2779209999999999E-2</v>
      </c>
      <c r="I39" s="31">
        <v>5.9968260000000002E-2</v>
      </c>
    </row>
    <row r="40" spans="1:9" s="32" customFormat="1" ht="15" customHeight="1">
      <c r="A40" s="27">
        <v>1.7687300000000001</v>
      </c>
      <c r="B40" s="33">
        <f t="shared" si="0"/>
        <v>1.7687300000000001</v>
      </c>
      <c r="C40" s="34">
        <v>-1.5080988000000001E-3</v>
      </c>
      <c r="D40" s="29">
        <v>1.3394266E-2</v>
      </c>
      <c r="E40" s="30">
        <v>4.8649206E-2</v>
      </c>
      <c r="F40" s="33">
        <f t="shared" si="1"/>
        <v>1.7687300000000001</v>
      </c>
      <c r="G40" s="29">
        <v>-2.5455550000000001E-3</v>
      </c>
      <c r="H40" s="29">
        <v>1.2714084E-2</v>
      </c>
      <c r="I40" s="31">
        <v>6.4258460000000003E-2</v>
      </c>
    </row>
    <row r="41" spans="1:9" s="32" customFormat="1" ht="15" customHeight="1">
      <c r="A41" s="27">
        <v>1.95323</v>
      </c>
      <c r="B41" s="33">
        <f t="shared" si="0"/>
        <v>1.95323</v>
      </c>
      <c r="C41" s="34">
        <v>-4.9964624999999999E-3</v>
      </c>
      <c r="D41" s="29">
        <v>1.6276401999999999E-2</v>
      </c>
      <c r="E41" s="30">
        <v>5.5256069999999997E-2</v>
      </c>
      <c r="F41" s="28">
        <f t="shared" si="1"/>
        <v>1.95323</v>
      </c>
      <c r="G41" s="29">
        <v>-2.58728E-3</v>
      </c>
      <c r="H41" s="29">
        <v>2.2457613000000001E-2</v>
      </c>
      <c r="I41" s="31">
        <v>8.9755210000000002E-2</v>
      </c>
    </row>
    <row r="42" spans="1:9" s="32" customFormat="1" ht="15" customHeight="1">
      <c r="A42" s="27">
        <v>2.1377300000000004</v>
      </c>
      <c r="B42" s="33">
        <f t="shared" si="0"/>
        <v>2.1377300000000004</v>
      </c>
      <c r="C42" s="34">
        <v>-1.1227750999999999E-2</v>
      </c>
      <c r="D42" s="29">
        <v>3.5949279000000001E-2</v>
      </c>
      <c r="E42" s="30">
        <v>0.10409336</v>
      </c>
      <c r="F42" s="33">
        <f t="shared" si="1"/>
        <v>2.1377300000000004</v>
      </c>
      <c r="G42" s="29">
        <v>5.3638384999999997E-2</v>
      </c>
      <c r="H42" s="29">
        <v>0.11278708</v>
      </c>
      <c r="I42" s="31">
        <v>0.19038788000000001</v>
      </c>
    </row>
    <row r="43" spans="1:9" s="32" customFormat="1" ht="15" customHeight="1">
      <c r="A43" s="27">
        <v>2.3222300000000002</v>
      </c>
      <c r="B43" s="33">
        <f t="shared" si="0"/>
        <v>2.3222300000000002</v>
      </c>
      <c r="C43" s="34">
        <v>-6.877125E-4</v>
      </c>
      <c r="D43" s="29">
        <v>5.8600896E-2</v>
      </c>
      <c r="E43" s="30">
        <v>0.1230931</v>
      </c>
      <c r="F43" s="28">
        <f t="shared" si="1"/>
        <v>2.3222300000000002</v>
      </c>
      <c r="G43" s="29">
        <v>3.03293E-2</v>
      </c>
      <c r="H43" s="29">
        <v>0.18999603000000001</v>
      </c>
      <c r="I43" s="31">
        <v>0.27610204999999999</v>
      </c>
    </row>
    <row r="44" spans="1:9" s="32" customFormat="1" ht="15" customHeight="1">
      <c r="A44" s="27">
        <v>2.5067300000000001</v>
      </c>
      <c r="B44" s="33">
        <f t="shared" si="0"/>
        <v>2.5067300000000001</v>
      </c>
      <c r="C44" s="34">
        <v>-4.9986388E-3</v>
      </c>
      <c r="D44" s="29">
        <v>7.3862022999999999E-2</v>
      </c>
      <c r="E44" s="30">
        <v>0.15955925000000001</v>
      </c>
      <c r="F44" s="33">
        <f t="shared" si="1"/>
        <v>2.5067300000000001</v>
      </c>
      <c r="G44" s="29">
        <v>3.7117625000000001E-2</v>
      </c>
      <c r="H44" s="29">
        <v>0.26378153999999998</v>
      </c>
      <c r="I44" s="31">
        <v>0.43116739999999998</v>
      </c>
    </row>
    <row r="45" spans="1:9" s="32" customFormat="1" ht="15" customHeight="1">
      <c r="A45" s="27">
        <v>2.69123</v>
      </c>
      <c r="B45" s="33">
        <f t="shared" si="0"/>
        <v>2.69123</v>
      </c>
      <c r="C45" s="34">
        <v>-5.6418750000000002E-3</v>
      </c>
      <c r="D45" s="29">
        <v>8.4236863999999995E-2</v>
      </c>
      <c r="E45" s="30">
        <v>0.19393898000000001</v>
      </c>
      <c r="F45" s="28">
        <f t="shared" si="1"/>
        <v>2.69123</v>
      </c>
      <c r="G45" s="29">
        <v>3.0336470000000001E-2</v>
      </c>
      <c r="H45" s="29">
        <v>0.31739207000000003</v>
      </c>
      <c r="I45" s="31">
        <v>0.46600571000000002</v>
      </c>
    </row>
    <row r="46" spans="1:9" s="32" customFormat="1" ht="15" customHeight="1">
      <c r="A46" s="27">
        <v>2.8757300000000003</v>
      </c>
      <c r="B46" s="33">
        <f t="shared" si="0"/>
        <v>2.8757300000000003</v>
      </c>
      <c r="C46" s="34">
        <v>-9.3563863000000001E-3</v>
      </c>
      <c r="D46" s="29">
        <v>9.5784405000000003E-2</v>
      </c>
      <c r="E46" s="30">
        <v>0.22960799000000001</v>
      </c>
      <c r="F46" s="33">
        <f t="shared" si="1"/>
        <v>2.8757300000000003</v>
      </c>
      <c r="G46" s="29">
        <v>3.4618274999999997E-2</v>
      </c>
      <c r="H46" s="29">
        <v>0.36690054</v>
      </c>
      <c r="I46" s="31">
        <v>0.54805409999999999</v>
      </c>
    </row>
    <row r="47" spans="1:9" s="32" customFormat="1" ht="15" customHeight="1">
      <c r="A47" s="27">
        <v>3.0602300000000002</v>
      </c>
      <c r="B47" s="33">
        <f t="shared" si="0"/>
        <v>3.0602300000000002</v>
      </c>
      <c r="C47" s="34">
        <v>-1.0624125E-2</v>
      </c>
      <c r="D47" s="29">
        <v>9.7508465000000002E-2</v>
      </c>
      <c r="E47" s="30">
        <v>0.24108172999999999</v>
      </c>
      <c r="F47" s="28">
        <f t="shared" si="1"/>
        <v>3.0602300000000002</v>
      </c>
      <c r="G47" s="29">
        <v>3.5587460000000001E-2</v>
      </c>
      <c r="H47" s="29">
        <v>0.38039991000000001</v>
      </c>
      <c r="I47" s="31">
        <v>0.55318973000000005</v>
      </c>
    </row>
    <row r="48" spans="1:9" s="32" customFormat="1" ht="15" customHeight="1">
      <c r="A48" s="27">
        <v>3.2447300000000001</v>
      </c>
      <c r="B48" s="33">
        <f t="shared" si="0"/>
        <v>3.2447300000000001</v>
      </c>
      <c r="C48" s="34">
        <v>-9.4322412999999997E-3</v>
      </c>
      <c r="D48" s="29">
        <v>9.3896489E-2</v>
      </c>
      <c r="E48" s="30">
        <v>0.23526113000000001</v>
      </c>
      <c r="F48" s="33">
        <f t="shared" si="1"/>
        <v>3.2447300000000001</v>
      </c>
      <c r="G48" s="29">
        <v>2.8141454999999999E-2</v>
      </c>
      <c r="H48" s="29">
        <v>0.39060917000000001</v>
      </c>
      <c r="I48" s="31">
        <v>0.55031574000000005</v>
      </c>
    </row>
    <row r="49" spans="1:9" s="32" customFormat="1" ht="15" customHeight="1">
      <c r="A49" s="27">
        <v>3.4292300000000004</v>
      </c>
      <c r="B49" s="33">
        <f t="shared" si="0"/>
        <v>3.4292300000000004</v>
      </c>
      <c r="C49" s="34">
        <v>-1.1504894999999999E-2</v>
      </c>
      <c r="D49" s="29">
        <v>9.5554121000000006E-2</v>
      </c>
      <c r="E49" s="30">
        <v>0.278804</v>
      </c>
      <c r="F49" s="28">
        <f t="shared" si="1"/>
        <v>3.4292300000000004</v>
      </c>
      <c r="G49" s="29">
        <v>3.6862649999999997E-2</v>
      </c>
      <c r="H49" s="29">
        <v>0.37993607000000001</v>
      </c>
      <c r="I49" s="31">
        <v>0.55598535000000004</v>
      </c>
    </row>
    <row r="50" spans="1:9" s="32" customFormat="1" ht="15" customHeight="1">
      <c r="A50" s="27">
        <v>3.6137300000000003</v>
      </c>
      <c r="B50" s="33">
        <f t="shared" si="0"/>
        <v>3.6137300000000003</v>
      </c>
      <c r="C50" s="34">
        <v>-8.2552762999999994E-3</v>
      </c>
      <c r="D50" s="29">
        <v>7.1859888999999996E-2</v>
      </c>
      <c r="E50" s="30">
        <v>0.22761587999999999</v>
      </c>
      <c r="F50" s="33">
        <f t="shared" si="1"/>
        <v>3.6137300000000003</v>
      </c>
      <c r="G50" s="29">
        <v>4.0026355E-2</v>
      </c>
      <c r="H50" s="29">
        <v>0.30102060000000003</v>
      </c>
      <c r="I50" s="31">
        <v>0.47502993999999998</v>
      </c>
    </row>
    <row r="51" spans="1:9" s="32" customFormat="1" ht="15" customHeight="1">
      <c r="A51" s="27">
        <v>3.7982300000000002</v>
      </c>
      <c r="B51" s="33">
        <f t="shared" si="0"/>
        <v>3.7982300000000002</v>
      </c>
      <c r="C51" s="34">
        <v>-7.9878512999999995E-3</v>
      </c>
      <c r="D51" s="29">
        <v>6.2655073000000006E-2</v>
      </c>
      <c r="E51" s="30">
        <v>0.18675574</v>
      </c>
      <c r="F51" s="28">
        <f t="shared" si="1"/>
        <v>3.7982300000000002</v>
      </c>
      <c r="G51" s="29">
        <v>4.5443654999999999E-2</v>
      </c>
      <c r="H51" s="29">
        <v>0.14268281999999999</v>
      </c>
      <c r="I51" s="31">
        <v>0.21390534</v>
      </c>
    </row>
    <row r="52" spans="1:9" s="32" customFormat="1" ht="15" customHeight="1">
      <c r="A52" s="27">
        <v>3.9827300000000001</v>
      </c>
      <c r="B52" s="33">
        <f t="shared" si="0"/>
        <v>3.9827300000000001</v>
      </c>
      <c r="C52" s="34">
        <v>-5.3459162999999997E-3</v>
      </c>
      <c r="D52" s="29">
        <v>7.5615572000000006E-2</v>
      </c>
      <c r="E52" s="30">
        <v>0.23136202</v>
      </c>
      <c r="F52" s="33">
        <f t="shared" si="1"/>
        <v>3.9827300000000001</v>
      </c>
      <c r="G52" s="29">
        <v>2.0896475000000001E-2</v>
      </c>
      <c r="H52" s="29">
        <v>2.80708E-2</v>
      </c>
      <c r="I52" s="31">
        <v>9.0793700000000005E-2</v>
      </c>
    </row>
    <row r="53" spans="1:9" s="32" customFormat="1" ht="15" customHeight="1">
      <c r="A53" s="27">
        <v>4.16723</v>
      </c>
      <c r="B53" s="33">
        <f t="shared" si="0"/>
        <v>4.16723</v>
      </c>
      <c r="C53" s="34">
        <v>-8.9376025000000008E-3</v>
      </c>
      <c r="D53" s="29">
        <v>6.7120639999999995E-2</v>
      </c>
      <c r="E53" s="30">
        <v>0.21612298999999999</v>
      </c>
      <c r="F53" s="28">
        <f t="shared" si="1"/>
        <v>4.16723</v>
      </c>
      <c r="G53" s="29">
        <v>1.9675270000000002E-2</v>
      </c>
      <c r="H53" s="29">
        <v>4.2926242000000003E-2</v>
      </c>
      <c r="I53" s="31">
        <v>0.23525610999999999</v>
      </c>
    </row>
    <row r="54" spans="1:9" s="32" customFormat="1" ht="15" customHeight="1">
      <c r="A54" s="27">
        <v>4.3517300000000008</v>
      </c>
      <c r="B54" s="33">
        <f t="shared" si="0"/>
        <v>4.3517300000000008</v>
      </c>
      <c r="C54" s="34">
        <v>-6.5603987999999997E-3</v>
      </c>
      <c r="D54" s="29">
        <v>6.7561352000000005E-2</v>
      </c>
      <c r="E54" s="30">
        <v>0.25965750999999998</v>
      </c>
      <c r="F54" s="33">
        <f t="shared" si="1"/>
        <v>4.3517300000000008</v>
      </c>
      <c r="G54" s="29">
        <v>1.7530185E-2</v>
      </c>
      <c r="H54" s="29">
        <v>3.332363E-2</v>
      </c>
      <c r="I54" s="31">
        <v>0.14898828</v>
      </c>
    </row>
    <row r="55" spans="1:9" s="32" customFormat="1" ht="15" customHeight="1">
      <c r="A55" s="27">
        <v>4.5362300000000007</v>
      </c>
      <c r="B55" s="33">
        <f t="shared" si="0"/>
        <v>4.5362300000000007</v>
      </c>
      <c r="C55" s="34">
        <v>-7.3198600000000001E-3</v>
      </c>
      <c r="D55" s="29">
        <v>9.0640020000000002E-2</v>
      </c>
      <c r="E55" s="30">
        <v>0.28261097000000002</v>
      </c>
      <c r="F55" s="28">
        <f t="shared" si="1"/>
        <v>4.5362300000000007</v>
      </c>
      <c r="G55" s="29">
        <v>2.105162E-2</v>
      </c>
      <c r="H55" s="29">
        <v>3.2626283999999998E-2</v>
      </c>
      <c r="I55" s="31">
        <v>0.11532341</v>
      </c>
    </row>
    <row r="56" spans="1:9" s="32" customFormat="1" ht="15" customHeight="1">
      <c r="A56" s="27">
        <v>4.7207300000000005</v>
      </c>
      <c r="B56" s="33">
        <f t="shared" si="0"/>
        <v>4.7207300000000005</v>
      </c>
      <c r="C56" s="34">
        <v>-7.9295575E-3</v>
      </c>
      <c r="D56" s="29">
        <v>7.8564669000000004E-2</v>
      </c>
      <c r="E56" s="30">
        <v>0.29831366999999998</v>
      </c>
      <c r="F56" s="33">
        <f t="shared" si="1"/>
        <v>4.7207300000000005</v>
      </c>
      <c r="G56" s="29">
        <v>2.1840700000000001E-2</v>
      </c>
      <c r="H56" s="29">
        <v>4.2894764000000002E-2</v>
      </c>
      <c r="I56" s="31">
        <v>0.24869125</v>
      </c>
    </row>
    <row r="57" spans="1:9" s="32" customFormat="1" ht="15" customHeight="1">
      <c r="A57" s="27">
        <v>4.9052300000000004</v>
      </c>
      <c r="B57" s="33">
        <f t="shared" si="0"/>
        <v>4.9052300000000004</v>
      </c>
      <c r="C57" s="34">
        <v>-1.2215011E-2</v>
      </c>
      <c r="D57" s="29">
        <v>7.8663078999999997E-2</v>
      </c>
      <c r="E57" s="30">
        <v>0.24179512</v>
      </c>
      <c r="F57" s="28">
        <f t="shared" si="1"/>
        <v>4.9052300000000004</v>
      </c>
      <c r="G57" s="29">
        <v>2.7682314999999999E-2</v>
      </c>
      <c r="H57" s="29">
        <v>5.2259722000000002E-2</v>
      </c>
      <c r="I57" s="31">
        <v>0.24235402</v>
      </c>
    </row>
    <row r="58" spans="1:9" s="32" customFormat="1" ht="15" customHeight="1">
      <c r="A58" s="27">
        <v>5.0897300000000003</v>
      </c>
      <c r="B58" s="33">
        <f t="shared" si="0"/>
        <v>5.0897300000000003</v>
      </c>
      <c r="C58" s="34">
        <v>-9.5333550000000003E-3</v>
      </c>
      <c r="D58" s="29">
        <v>8.4693105000000005E-2</v>
      </c>
      <c r="E58" s="30">
        <v>0.29237096000000001</v>
      </c>
      <c r="F58" s="33">
        <f t="shared" si="1"/>
        <v>5.0897300000000003</v>
      </c>
      <c r="G58" s="29">
        <v>4.1442659999999999E-2</v>
      </c>
      <c r="H58" s="29">
        <v>8.1375424000000002E-2</v>
      </c>
      <c r="I58" s="31">
        <v>0.24145533</v>
      </c>
    </row>
    <row r="59" spans="1:9" s="32" customFormat="1" ht="15" customHeight="1">
      <c r="A59" s="27">
        <v>5.2742300000000002</v>
      </c>
      <c r="B59" s="33">
        <f t="shared" si="0"/>
        <v>5.2742300000000002</v>
      </c>
      <c r="C59" s="34">
        <v>-3.7077312999999998E-3</v>
      </c>
      <c r="D59" s="29">
        <v>0.25925028999999999</v>
      </c>
      <c r="E59" s="30">
        <v>0.47960883999999998</v>
      </c>
      <c r="F59" s="28">
        <f t="shared" si="1"/>
        <v>5.2742300000000002</v>
      </c>
      <c r="G59" s="29">
        <v>2.1806735000000001E-2</v>
      </c>
      <c r="H59" s="29">
        <v>1.5969833</v>
      </c>
      <c r="I59" s="31">
        <v>2.3419612000000001</v>
      </c>
    </row>
    <row r="60" spans="1:9" s="32" customFormat="1" ht="15" customHeight="1">
      <c r="A60" s="27"/>
      <c r="B60" s="33"/>
      <c r="C60" s="34"/>
      <c r="D60" s="29"/>
      <c r="E60" s="30"/>
      <c r="F60" s="33"/>
      <c r="G60" s="29"/>
      <c r="H60" s="29"/>
      <c r="I60" s="31"/>
    </row>
    <row r="61" spans="1:9" s="32" customFormat="1" ht="15" customHeight="1">
      <c r="A61" s="27"/>
      <c r="B61" s="33"/>
      <c r="C61" s="34"/>
      <c r="D61" s="29"/>
      <c r="E61" s="30"/>
      <c r="F61" s="28"/>
      <c r="G61" s="29"/>
      <c r="H61" s="29"/>
      <c r="I61" s="31"/>
    </row>
    <row r="62" spans="1:9" s="32" customFormat="1" ht="15" customHeight="1">
      <c r="A62" s="27"/>
      <c r="B62" s="33"/>
      <c r="C62" s="34"/>
      <c r="D62" s="29"/>
      <c r="E62" s="30"/>
      <c r="F62" s="33"/>
      <c r="G62" s="29"/>
      <c r="H62" s="29"/>
      <c r="I62" s="31"/>
    </row>
    <row r="63" spans="1:9" s="32" customFormat="1" ht="15" customHeight="1">
      <c r="A63" s="27"/>
      <c r="B63" s="33"/>
      <c r="C63" s="34"/>
      <c r="D63" s="29"/>
      <c r="E63" s="30"/>
      <c r="F63" s="33"/>
      <c r="G63" s="29"/>
      <c r="H63" s="29"/>
      <c r="I63" s="31"/>
    </row>
    <row r="64" spans="1:9" s="32" customFormat="1" ht="15" customHeight="1">
      <c r="A64" s="27"/>
      <c r="B64" s="33"/>
      <c r="C64" s="34"/>
      <c r="D64" s="29"/>
      <c r="E64" s="30"/>
      <c r="F64" s="33"/>
      <c r="G64" s="29"/>
      <c r="H64" s="29"/>
      <c r="I64" s="31"/>
    </row>
    <row r="65" spans="1:12" s="32" customFormat="1" ht="15" customHeight="1">
      <c r="A65" s="27"/>
      <c r="B65" s="33"/>
      <c r="C65" s="34"/>
      <c r="D65" s="29"/>
      <c r="E65" s="30"/>
      <c r="F65" s="33"/>
      <c r="G65" s="29"/>
      <c r="H65" s="29"/>
      <c r="I65" s="31"/>
    </row>
    <row r="66" spans="1:12" s="32" customFormat="1" ht="15" customHeight="1">
      <c r="A66" s="27"/>
      <c r="B66" s="33"/>
      <c r="C66" s="34"/>
      <c r="D66" s="29"/>
      <c r="E66" s="30"/>
      <c r="F66" s="33"/>
      <c r="G66" s="29"/>
      <c r="H66" s="29"/>
      <c r="I66" s="31"/>
    </row>
    <row r="67" spans="1:12" s="32" customFormat="1" ht="15" customHeight="1">
      <c r="A67" s="27"/>
      <c r="B67" s="33"/>
      <c r="C67" s="34"/>
      <c r="D67" s="29"/>
      <c r="E67" s="30"/>
      <c r="F67" s="33"/>
      <c r="G67" s="29"/>
      <c r="H67" s="29"/>
      <c r="I67" s="31"/>
    </row>
    <row r="68" spans="1:12" s="32" customFormat="1" ht="15" customHeight="1">
      <c r="A68" s="27"/>
      <c r="B68" s="33"/>
      <c r="C68" s="34"/>
      <c r="D68" s="29"/>
      <c r="E68" s="30"/>
      <c r="F68" s="33"/>
      <c r="G68" s="29"/>
      <c r="H68" s="29"/>
      <c r="I68" s="31"/>
    </row>
    <row r="69" spans="1:12" s="32" customFormat="1" ht="15" customHeight="1">
      <c r="A69" s="27"/>
      <c r="B69" s="33"/>
      <c r="C69" s="34"/>
      <c r="D69" s="29"/>
      <c r="E69" s="30"/>
      <c r="F69" s="33"/>
      <c r="G69" s="29"/>
      <c r="H69" s="29"/>
      <c r="I69" s="31"/>
    </row>
    <row r="70" spans="1:12" s="32" customFormat="1" ht="15" customHeight="1">
      <c r="A70" s="27"/>
      <c r="B70" s="33"/>
      <c r="C70" s="34"/>
      <c r="D70" s="29"/>
      <c r="E70" s="30"/>
      <c r="F70" s="33"/>
      <c r="G70" s="29"/>
      <c r="H70" s="29"/>
      <c r="I70" s="31"/>
    </row>
    <row r="71" spans="1:12" s="32" customFormat="1" ht="15" customHeight="1">
      <c r="A71" s="35"/>
      <c r="B71" s="33"/>
      <c r="C71" s="34"/>
      <c r="D71" s="29"/>
      <c r="E71" s="30"/>
      <c r="F71" s="33"/>
      <c r="G71" s="29"/>
      <c r="H71" s="29"/>
      <c r="I71" s="31"/>
    </row>
    <row r="72" spans="1:12" s="32" customFormat="1" ht="15" customHeight="1">
      <c r="A72" s="35"/>
      <c r="B72" s="33"/>
      <c r="C72" s="34"/>
      <c r="D72" s="29"/>
      <c r="E72" s="30"/>
      <c r="F72" s="33"/>
      <c r="G72" s="29"/>
      <c r="H72" s="29"/>
      <c r="I72" s="31"/>
    </row>
    <row r="73" spans="1:12" s="32" customFormat="1" ht="15" customHeight="1">
      <c r="A73" s="35"/>
      <c r="B73" s="33"/>
      <c r="C73" s="34"/>
      <c r="D73" s="29"/>
      <c r="E73" s="30"/>
      <c r="F73" s="33"/>
      <c r="G73" s="29"/>
      <c r="H73" s="29"/>
      <c r="I73" s="31"/>
    </row>
    <row r="74" spans="1:12" s="32" customFormat="1" ht="15" customHeight="1">
      <c r="A74" s="35"/>
      <c r="B74" s="33"/>
      <c r="C74" s="34"/>
      <c r="D74" s="29"/>
      <c r="E74" s="30"/>
      <c r="F74" s="33"/>
      <c r="G74" s="29"/>
      <c r="H74" s="29"/>
      <c r="I74" s="31"/>
    </row>
    <row r="75" spans="1:12" s="32" customFormat="1" ht="15" customHeight="1">
      <c r="A75" s="35"/>
      <c r="B75" s="33"/>
      <c r="C75" s="34"/>
      <c r="D75" s="29"/>
      <c r="E75" s="30"/>
      <c r="F75" s="33"/>
      <c r="G75" s="29"/>
      <c r="H75" s="29"/>
      <c r="I75" s="31"/>
    </row>
    <row r="76" spans="1:12" s="32" customFormat="1" ht="15" customHeight="1">
      <c r="A76" s="35"/>
      <c r="B76" s="33"/>
      <c r="C76" s="34"/>
      <c r="D76" s="29"/>
      <c r="E76" s="30"/>
      <c r="F76" s="33"/>
      <c r="G76" s="29"/>
      <c r="H76" s="29"/>
      <c r="I76" s="31"/>
    </row>
    <row r="77" spans="1:12" ht="15" customHeight="1">
      <c r="A77" s="36"/>
      <c r="B77" s="33"/>
      <c r="C77" s="34"/>
      <c r="D77" s="29"/>
      <c r="E77" s="30"/>
      <c r="F77" s="33"/>
      <c r="G77" s="29"/>
      <c r="H77" s="29"/>
      <c r="I77" s="31"/>
      <c r="J77" s="32"/>
      <c r="K77" s="32"/>
      <c r="L77" s="32"/>
    </row>
    <row r="78" spans="1:12" ht="15" customHeight="1">
      <c r="A78" s="36"/>
      <c r="B78" s="33"/>
      <c r="C78" s="34"/>
      <c r="D78" s="29"/>
      <c r="E78" s="30"/>
      <c r="F78" s="33"/>
      <c r="G78" s="29"/>
      <c r="H78" s="29"/>
      <c r="I78" s="31"/>
      <c r="J78" s="32"/>
      <c r="K78" s="32"/>
      <c r="L78" s="32"/>
    </row>
    <row r="79" spans="1:12" ht="15" customHeight="1">
      <c r="A79" s="36"/>
      <c r="B79" s="33"/>
      <c r="C79" s="34"/>
      <c r="D79" s="29"/>
      <c r="E79" s="30"/>
      <c r="F79" s="33"/>
      <c r="G79" s="29"/>
      <c r="H79" s="29"/>
      <c r="I79" s="31"/>
    </row>
    <row r="80" spans="1:12" ht="15" customHeight="1">
      <c r="A80" s="36"/>
      <c r="B80" s="37"/>
      <c r="C80" s="38"/>
      <c r="D80" s="38"/>
      <c r="E80" s="39"/>
      <c r="F80" s="37"/>
      <c r="G80" s="38"/>
      <c r="H80" s="38"/>
      <c r="I80" s="40"/>
    </row>
    <row r="81" spans="1:9" ht="15" customHeight="1">
      <c r="A81" s="36"/>
      <c r="B81" s="37"/>
      <c r="C81" s="38"/>
      <c r="D81" s="38"/>
      <c r="E81" s="39"/>
      <c r="F81" s="37"/>
      <c r="G81" s="38"/>
      <c r="H81" s="38"/>
      <c r="I81" s="40"/>
    </row>
    <row r="82" spans="1:9" ht="15" customHeight="1">
      <c r="A82" s="36"/>
      <c r="B82" s="37"/>
      <c r="C82" s="38"/>
      <c r="D82" s="38"/>
      <c r="E82" s="39"/>
      <c r="F82" s="37"/>
      <c r="G82" s="38"/>
      <c r="H82" s="38"/>
      <c r="I82" s="40"/>
    </row>
    <row r="83" spans="1:9" ht="15" customHeight="1">
      <c r="A83" s="36"/>
      <c r="B83" s="37"/>
      <c r="C83" s="38"/>
      <c r="D83" s="38"/>
      <c r="E83" s="39"/>
      <c r="F83" s="37"/>
      <c r="G83" s="38"/>
      <c r="H83" s="38"/>
      <c r="I83" s="40"/>
    </row>
    <row r="84" spans="1:9" ht="15" customHeight="1" thickBot="1">
      <c r="A84" s="41"/>
      <c r="B84" s="42"/>
      <c r="C84" s="43"/>
      <c r="D84" s="43"/>
      <c r="E84" s="44"/>
      <c r="F84" s="42"/>
      <c r="G84" s="43"/>
      <c r="H84" s="43"/>
      <c r="I84" s="45"/>
    </row>
  </sheetData>
  <mergeCells count="4">
    <mergeCell ref="A19:A21"/>
    <mergeCell ref="B19:I19"/>
    <mergeCell ref="B20:E20"/>
    <mergeCell ref="F20:I20"/>
  </mergeCells>
  <phoneticPr fontId="3" type="noConversion"/>
  <pageMargins left="0.75" right="0.75" top="1" bottom="1" header="0.51200000000000001" footer="0.51200000000000001"/>
  <pageSetup paperSize="9" scale="59" orientation="portrait" verticalDpi="4294967293" r:id="rId1"/>
  <headerFooter alignWithMargins="0"/>
  <rowBreaks count="1" manualBreakCount="1">
    <brk id="1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F805-6B2E-423A-B0E4-BE7D0E52DB7C}">
  <dimension ref="A1:L84"/>
  <sheetViews>
    <sheetView view="pageBreakPreview" topLeftCell="A25" zoomScaleNormal="100" zoomScaleSheetLayoutView="100" workbookViewId="0">
      <selection activeCell="C53" sqref="C53:I53"/>
    </sheetView>
  </sheetViews>
  <sheetFormatPr defaultColWidth="8" defaultRowHeight="15" customHeight="1"/>
  <cols>
    <col min="1" max="9" width="7.6640625" style="17" customWidth="1"/>
    <col min="10" max="11" width="8" style="17"/>
    <col min="12" max="12" width="9" style="17" bestFit="1" customWidth="1"/>
    <col min="13" max="16384" width="8" style="17"/>
  </cols>
  <sheetData>
    <row r="1" spans="1:8" ht="15" customHeight="1">
      <c r="A1" s="16"/>
    </row>
    <row r="2" spans="1:8" ht="15" customHeight="1">
      <c r="A2" s="16" t="s">
        <v>59</v>
      </c>
      <c r="H2" s="17" t="s">
        <v>60</v>
      </c>
    </row>
    <row r="5" spans="1:8" ht="15" customHeight="1">
      <c r="A5" s="18"/>
    </row>
    <row r="9" spans="1:8" ht="15" customHeight="1">
      <c r="A9" s="18"/>
    </row>
    <row r="13" spans="1:8" ht="15" customHeight="1">
      <c r="A13" s="18"/>
    </row>
    <row r="17" spans="1:12" ht="15" customHeight="1">
      <c r="A17" s="18"/>
    </row>
    <row r="18" spans="1:12" ht="15" customHeight="1" thickBot="1">
      <c r="A18" s="18" t="s">
        <v>61</v>
      </c>
    </row>
    <row r="19" spans="1:12" ht="15" customHeight="1" thickBot="1">
      <c r="A19" s="51" t="s">
        <v>62</v>
      </c>
      <c r="B19" s="54" t="s">
        <v>63</v>
      </c>
      <c r="C19" s="54"/>
      <c r="D19" s="54"/>
      <c r="E19" s="54"/>
      <c r="F19" s="55"/>
      <c r="G19" s="55"/>
      <c r="H19" s="55"/>
      <c r="I19" s="56"/>
    </row>
    <row r="20" spans="1:12" ht="15" customHeight="1" thickBot="1">
      <c r="A20" s="52"/>
      <c r="B20" s="57" t="s">
        <v>64</v>
      </c>
      <c r="C20" s="58"/>
      <c r="D20" s="58"/>
      <c r="E20" s="59"/>
      <c r="F20" s="57" t="s">
        <v>65</v>
      </c>
      <c r="G20" s="58"/>
      <c r="H20" s="60"/>
      <c r="I20" s="59"/>
    </row>
    <row r="21" spans="1:12" ht="15" customHeight="1">
      <c r="A21" s="53"/>
      <c r="B21" s="19" t="s">
        <v>66</v>
      </c>
      <c r="C21" s="20" t="s">
        <v>67</v>
      </c>
      <c r="D21" s="20" t="s">
        <v>68</v>
      </c>
      <c r="E21" s="21" t="s">
        <v>69</v>
      </c>
      <c r="F21" s="46" t="s">
        <v>66</v>
      </c>
      <c r="G21" s="47" t="s">
        <v>67</v>
      </c>
      <c r="H21" s="47" t="s">
        <v>68</v>
      </c>
      <c r="I21" s="48" t="s">
        <v>69</v>
      </c>
    </row>
    <row r="22" spans="1:12" ht="15" customHeight="1" thickBot="1">
      <c r="A22" s="22" t="s">
        <v>70</v>
      </c>
      <c r="B22" s="23" t="s">
        <v>70</v>
      </c>
      <c r="C22" s="24" t="s">
        <v>71</v>
      </c>
      <c r="D22" s="24" t="s">
        <v>71</v>
      </c>
      <c r="E22" s="25" t="s">
        <v>71</v>
      </c>
      <c r="F22" s="23" t="s">
        <v>70</v>
      </c>
      <c r="G22" s="24" t="s">
        <v>71</v>
      </c>
      <c r="H22" s="24" t="s">
        <v>71</v>
      </c>
      <c r="I22" s="26" t="s">
        <v>71</v>
      </c>
      <c r="J22" s="32"/>
      <c r="K22" s="32"/>
      <c r="L22" s="32"/>
    </row>
    <row r="23" spans="1:12" s="32" customFormat="1" ht="15" customHeight="1">
      <c r="A23" s="27">
        <v>0</v>
      </c>
      <c r="B23" s="28">
        <f>A23</f>
        <v>0</v>
      </c>
      <c r="C23" s="29">
        <v>3.503314E-3</v>
      </c>
      <c r="D23" s="29">
        <v>9.7353379000000005E-4</v>
      </c>
      <c r="E23" s="30">
        <v>2.8080294999999998E-3</v>
      </c>
      <c r="F23" s="28">
        <f>A23</f>
        <v>0</v>
      </c>
      <c r="G23" s="29">
        <v>-9.9796250000000006E-3</v>
      </c>
      <c r="H23" s="29">
        <v>1.9023435999999999E-3</v>
      </c>
      <c r="I23" s="31">
        <v>3.5670718999999997E-2</v>
      </c>
    </row>
    <row r="24" spans="1:12" s="32" customFormat="1" ht="15" customHeight="1">
      <c r="A24" s="27">
        <v>0.10822999999999999</v>
      </c>
      <c r="B24" s="33">
        <f>A24</f>
        <v>0.10822999999999999</v>
      </c>
      <c r="C24" s="34">
        <v>3.5639408000000001E-3</v>
      </c>
      <c r="D24" s="29">
        <v>1.4469818E-3</v>
      </c>
      <c r="E24" s="30">
        <v>5.3845207999999997E-3</v>
      </c>
      <c r="F24" s="33">
        <f>A24</f>
        <v>0.10822999999999999</v>
      </c>
      <c r="G24" s="29">
        <v>-1.0414444E-2</v>
      </c>
      <c r="H24" s="29">
        <v>2.5673032E-3</v>
      </c>
      <c r="I24" s="31">
        <v>4.0237040000000002E-2</v>
      </c>
    </row>
    <row r="25" spans="1:12" s="32" customFormat="1" ht="15" customHeight="1">
      <c r="A25" s="27">
        <v>0.29272999999999999</v>
      </c>
      <c r="B25" s="33">
        <f t="shared" ref="B25:B59" si="0">A25</f>
        <v>0.29272999999999999</v>
      </c>
      <c r="C25" s="34">
        <v>2.0063772999999998E-3</v>
      </c>
      <c r="D25" s="29">
        <v>1.5727255E-3</v>
      </c>
      <c r="E25" s="30">
        <v>5.0903735000000002E-3</v>
      </c>
      <c r="F25" s="28">
        <f t="shared" ref="F25:F59" si="1">A25</f>
        <v>0.29272999999999999</v>
      </c>
      <c r="G25" s="29">
        <v>-3.6110985999999999E-3</v>
      </c>
      <c r="H25" s="29">
        <v>2.7012258000000001E-3</v>
      </c>
      <c r="I25" s="31">
        <v>1.9915904000000002E-2</v>
      </c>
    </row>
    <row r="26" spans="1:12" s="32" customFormat="1" ht="15" customHeight="1">
      <c r="A26" s="27">
        <v>0.47722999999999999</v>
      </c>
      <c r="B26" s="33">
        <f t="shared" si="0"/>
        <v>0.47722999999999999</v>
      </c>
      <c r="C26" s="34">
        <v>3.5363754000000002E-3</v>
      </c>
      <c r="D26" s="29">
        <v>1.6432534E-3</v>
      </c>
      <c r="E26" s="30">
        <v>4.4270713999999996E-3</v>
      </c>
      <c r="F26" s="33">
        <f t="shared" si="1"/>
        <v>0.47722999999999999</v>
      </c>
      <c r="G26" s="29">
        <v>-7.8293049000000003E-3</v>
      </c>
      <c r="H26" s="29">
        <v>2.7917312000000001E-3</v>
      </c>
      <c r="I26" s="31">
        <v>3.1358105999999997E-2</v>
      </c>
    </row>
    <row r="27" spans="1:12" s="32" customFormat="1" ht="15" customHeight="1">
      <c r="A27" s="27">
        <v>0.56947999999999999</v>
      </c>
      <c r="B27" s="33">
        <f t="shared" si="0"/>
        <v>0.56947999999999999</v>
      </c>
      <c r="C27" s="34">
        <v>5.1580126000000002E-3</v>
      </c>
      <c r="D27" s="29">
        <v>1.5940626E-3</v>
      </c>
      <c r="E27" s="30">
        <v>5.5266882999999998E-3</v>
      </c>
      <c r="F27" s="28">
        <f t="shared" si="1"/>
        <v>0.56947999999999999</v>
      </c>
      <c r="G27" s="29">
        <v>4.9224289000000003E-3</v>
      </c>
      <c r="H27" s="29">
        <v>2.2054445000000002E-3</v>
      </c>
      <c r="I27" s="31">
        <v>3.1657083999999999E-3</v>
      </c>
    </row>
    <row r="28" spans="1:12" s="32" customFormat="1" ht="15" customHeight="1">
      <c r="A28" s="27">
        <v>0.66173000000000015</v>
      </c>
      <c r="B28" s="33">
        <f t="shared" si="0"/>
        <v>0.66173000000000015</v>
      </c>
      <c r="C28" s="34">
        <v>1.4235196E-3</v>
      </c>
      <c r="D28" s="29">
        <v>3.3534584999999999E-3</v>
      </c>
      <c r="E28" s="30">
        <v>9.7368629000000005E-3</v>
      </c>
      <c r="F28" s="33">
        <f t="shared" si="1"/>
        <v>0.66173000000000015</v>
      </c>
      <c r="G28" s="29">
        <v>1.1407924999999999E-2</v>
      </c>
      <c r="H28" s="29">
        <v>2.8663235999999998E-3</v>
      </c>
      <c r="I28" s="31">
        <v>5.2497679999999997E-4</v>
      </c>
    </row>
    <row r="29" spans="1:12" s="32" customFormat="1" ht="15" customHeight="1">
      <c r="A29" s="27">
        <v>0.75398000000000009</v>
      </c>
      <c r="B29" s="33">
        <f t="shared" si="0"/>
        <v>0.75398000000000009</v>
      </c>
      <c r="C29" s="34">
        <v>-2.9702297999999999E-3</v>
      </c>
      <c r="D29" s="29">
        <v>7.0972172000000004E-3</v>
      </c>
      <c r="E29" s="30">
        <v>2.2290884E-2</v>
      </c>
      <c r="F29" s="28">
        <f t="shared" si="1"/>
        <v>0.75398000000000009</v>
      </c>
      <c r="G29" s="29">
        <v>3.3792389999999999E-2</v>
      </c>
      <c r="H29" s="29">
        <v>4.0244197999999998E-3</v>
      </c>
      <c r="I29" s="31">
        <v>-1.9529029999999999E-2</v>
      </c>
    </row>
    <row r="30" spans="1:12" s="32" customFormat="1" ht="15" customHeight="1">
      <c r="A30" s="27">
        <v>0.84623000000000004</v>
      </c>
      <c r="B30" s="33">
        <f t="shared" si="0"/>
        <v>0.84623000000000004</v>
      </c>
      <c r="C30" s="34">
        <v>-3.9789626999999998E-3</v>
      </c>
      <c r="D30" s="29">
        <v>0.1714058</v>
      </c>
      <c r="E30" s="30">
        <v>0.25661258999999997</v>
      </c>
      <c r="F30" s="33">
        <f t="shared" si="1"/>
        <v>0.84623000000000004</v>
      </c>
      <c r="G30" s="29">
        <v>2.3166472E-2</v>
      </c>
      <c r="H30" s="29">
        <v>1.5241456E-2</v>
      </c>
      <c r="I30" s="31">
        <v>2.6477180999999999E-2</v>
      </c>
    </row>
    <row r="31" spans="1:12" s="32" customFormat="1" ht="15" customHeight="1">
      <c r="A31" s="27">
        <v>0.9384800000000002</v>
      </c>
      <c r="B31" s="33">
        <f t="shared" si="0"/>
        <v>0.9384800000000002</v>
      </c>
      <c r="C31" s="34">
        <v>-6.3388767E-3</v>
      </c>
      <c r="D31" s="29">
        <v>0.25130608999999998</v>
      </c>
      <c r="E31" s="30">
        <v>0.37560060000000001</v>
      </c>
      <c r="F31" s="28">
        <f t="shared" si="1"/>
        <v>0.9384800000000002</v>
      </c>
      <c r="G31" s="29">
        <v>4.0050664999999999E-2</v>
      </c>
      <c r="H31" s="29">
        <v>1.4474986E-2</v>
      </c>
      <c r="I31" s="31">
        <v>2.4646819E-2</v>
      </c>
    </row>
    <row r="32" spans="1:12" s="32" customFormat="1" ht="15" customHeight="1">
      <c r="A32" s="27">
        <v>1.0307300000000001</v>
      </c>
      <c r="B32" s="33">
        <f t="shared" si="0"/>
        <v>1.0307300000000001</v>
      </c>
      <c r="C32" s="34">
        <v>-6.4614410999999997E-3</v>
      </c>
      <c r="D32" s="29">
        <v>0.23859986999999999</v>
      </c>
      <c r="E32" s="30">
        <v>0.35630405999999998</v>
      </c>
      <c r="F32" s="33">
        <f t="shared" si="1"/>
        <v>1.0307300000000001</v>
      </c>
      <c r="G32" s="29">
        <v>3.7013503000000003E-2</v>
      </c>
      <c r="H32" s="29">
        <v>1.1906673E-2</v>
      </c>
      <c r="I32" s="31">
        <v>5.8193584000000003E-3</v>
      </c>
    </row>
    <row r="33" spans="1:9" s="32" customFormat="1" ht="15" customHeight="1">
      <c r="A33" s="27">
        <v>1.1229800000000001</v>
      </c>
      <c r="B33" s="33">
        <f t="shared" si="0"/>
        <v>1.1229800000000001</v>
      </c>
      <c r="C33" s="34">
        <v>-6.3117787000000003E-3</v>
      </c>
      <c r="D33" s="29">
        <v>0.11674432</v>
      </c>
      <c r="E33" s="30">
        <v>0.19341047</v>
      </c>
      <c r="F33" s="28">
        <f t="shared" si="1"/>
        <v>1.1229800000000001</v>
      </c>
      <c r="G33" s="29">
        <v>3.3361307999999999E-2</v>
      </c>
      <c r="H33" s="29">
        <v>1.6967098999999999E-2</v>
      </c>
      <c r="I33" s="31">
        <v>1.5376725000000001E-2</v>
      </c>
    </row>
    <row r="34" spans="1:9" s="32" customFormat="1" ht="15" customHeight="1">
      <c r="A34" s="27">
        <v>1.21523</v>
      </c>
      <c r="B34" s="33">
        <f t="shared" si="0"/>
        <v>1.21523</v>
      </c>
      <c r="C34" s="34">
        <v>-5.3654699999999998E-3</v>
      </c>
      <c r="D34" s="29">
        <v>9.1291198E-3</v>
      </c>
      <c r="E34" s="30">
        <v>3.9317271000000001E-2</v>
      </c>
      <c r="F34" s="33">
        <f t="shared" si="1"/>
        <v>1.21523</v>
      </c>
      <c r="G34" s="29">
        <v>2.6143919000000002E-2</v>
      </c>
      <c r="H34" s="29">
        <v>0.18604225999999999</v>
      </c>
      <c r="I34" s="31">
        <v>0.24760784</v>
      </c>
    </row>
    <row r="35" spans="1:9" s="32" customFormat="1" ht="15" customHeight="1">
      <c r="A35" s="27">
        <v>1.3074800000000002</v>
      </c>
      <c r="B35" s="33">
        <f t="shared" si="0"/>
        <v>1.3074800000000002</v>
      </c>
      <c r="C35" s="34">
        <v>-3.7757702000000001E-4</v>
      </c>
      <c r="D35" s="29">
        <v>9.8091535000000007E-3</v>
      </c>
      <c r="E35" s="30">
        <v>5.1430577999999998E-2</v>
      </c>
      <c r="F35" s="28">
        <f t="shared" si="1"/>
        <v>1.3074800000000002</v>
      </c>
      <c r="G35" s="29">
        <v>4.3247313000000003E-2</v>
      </c>
      <c r="H35" s="29">
        <v>0.21565400000000001</v>
      </c>
      <c r="I35" s="31">
        <v>0.27148805999999998</v>
      </c>
    </row>
    <row r="36" spans="1:9" s="32" customFormat="1" ht="15" customHeight="1">
      <c r="A36" s="27">
        <v>1.3997300000000001</v>
      </c>
      <c r="B36" s="33">
        <f t="shared" si="0"/>
        <v>1.3997300000000001</v>
      </c>
      <c r="C36" s="34">
        <v>3.2019214000000001E-3</v>
      </c>
      <c r="D36" s="29">
        <v>1.2047034E-2</v>
      </c>
      <c r="E36" s="30">
        <v>4.1116315000000001E-2</v>
      </c>
      <c r="F36" s="33">
        <f t="shared" si="1"/>
        <v>1.3997300000000001</v>
      </c>
      <c r="G36" s="29">
        <v>3.2476262999999998E-2</v>
      </c>
      <c r="H36" s="29">
        <v>0.18363723000000001</v>
      </c>
      <c r="I36" s="31">
        <v>0.24705225</v>
      </c>
    </row>
    <row r="37" spans="1:9" s="32" customFormat="1" ht="15" customHeight="1">
      <c r="A37" s="27">
        <v>1.4919800000000001</v>
      </c>
      <c r="B37" s="33">
        <f t="shared" si="0"/>
        <v>1.4919800000000001</v>
      </c>
      <c r="C37" s="34">
        <v>1.2581765E-2</v>
      </c>
      <c r="D37" s="29">
        <v>1.7679210000000001E-2</v>
      </c>
      <c r="E37" s="30">
        <v>4.7532286999999999E-2</v>
      </c>
      <c r="F37" s="28">
        <f t="shared" si="1"/>
        <v>1.4919800000000001</v>
      </c>
      <c r="G37" s="29">
        <v>1.1255645E-2</v>
      </c>
      <c r="H37" s="29">
        <v>8.4309050999999996E-2</v>
      </c>
      <c r="I37" s="31">
        <v>0.15400899000000001</v>
      </c>
    </row>
    <row r="38" spans="1:9" s="32" customFormat="1" ht="15" customHeight="1">
      <c r="A38" s="27">
        <v>1.5842300000000002</v>
      </c>
      <c r="B38" s="33">
        <f t="shared" si="0"/>
        <v>1.5842300000000002</v>
      </c>
      <c r="C38" s="34">
        <v>2.9555683000000001E-3</v>
      </c>
      <c r="D38" s="29">
        <v>1.8261072E-2</v>
      </c>
      <c r="E38" s="30">
        <v>5.2668430000000002E-2</v>
      </c>
      <c r="F38" s="33">
        <f t="shared" si="1"/>
        <v>1.5842300000000002</v>
      </c>
      <c r="G38" s="29">
        <v>4.2723339999999999E-2</v>
      </c>
      <c r="H38" s="29">
        <v>1.0499578000000001E-2</v>
      </c>
      <c r="I38" s="31">
        <v>-1.1191107E-2</v>
      </c>
    </row>
    <row r="39" spans="1:9" s="32" customFormat="1" ht="15" customHeight="1">
      <c r="A39" s="27">
        <v>1.6764800000000002</v>
      </c>
      <c r="B39" s="33">
        <f t="shared" si="0"/>
        <v>1.6764800000000002</v>
      </c>
      <c r="C39" s="34">
        <v>-5.1808553000000004E-3</v>
      </c>
      <c r="D39" s="29">
        <v>1.5076791000000001E-2</v>
      </c>
      <c r="E39" s="30">
        <v>5.3645107999999997E-2</v>
      </c>
      <c r="F39" s="28">
        <f t="shared" si="1"/>
        <v>1.6764800000000002</v>
      </c>
      <c r="G39" s="29">
        <v>5.7887902999999997E-2</v>
      </c>
      <c r="H39" s="29">
        <v>9.1675491999999997E-3</v>
      </c>
      <c r="I39" s="31">
        <v>-2.7188548E-2</v>
      </c>
    </row>
    <row r="40" spans="1:9" s="32" customFormat="1" ht="15" customHeight="1">
      <c r="A40" s="27">
        <v>1.7687300000000001</v>
      </c>
      <c r="B40" s="33">
        <f t="shared" si="0"/>
        <v>1.7687300000000001</v>
      </c>
      <c r="C40" s="34">
        <v>-4.5052178E-3</v>
      </c>
      <c r="D40" s="29">
        <v>1.0496337999999999E-2</v>
      </c>
      <c r="E40" s="30">
        <v>4.1858055999999998E-2</v>
      </c>
      <c r="F40" s="33">
        <f t="shared" si="1"/>
        <v>1.7687300000000001</v>
      </c>
      <c r="G40" s="29">
        <v>5.2192284999999998E-2</v>
      </c>
      <c r="H40" s="29">
        <v>1.0882966000000001E-2</v>
      </c>
      <c r="I40" s="31">
        <v>-1.6877379000000001E-2</v>
      </c>
    </row>
    <row r="41" spans="1:9" s="32" customFormat="1" ht="15" customHeight="1">
      <c r="A41" s="27">
        <v>1.95323</v>
      </c>
      <c r="B41" s="33">
        <f t="shared" si="0"/>
        <v>1.95323</v>
      </c>
      <c r="C41" s="34">
        <v>-8.1372818000000004E-4</v>
      </c>
      <c r="D41" s="29">
        <v>1.6725634E-2</v>
      </c>
      <c r="E41" s="30">
        <v>5.6868613999999998E-2</v>
      </c>
      <c r="F41" s="28">
        <f t="shared" si="1"/>
        <v>1.95323</v>
      </c>
      <c r="G41" s="29">
        <v>4.4991801999999997E-2</v>
      </c>
      <c r="H41" s="29">
        <v>2.0994087000000002E-2</v>
      </c>
      <c r="I41" s="31">
        <v>1.484029E-3</v>
      </c>
    </row>
    <row r="42" spans="1:9" s="32" customFormat="1" ht="15" customHeight="1">
      <c r="A42" s="27">
        <v>2.1377300000000004</v>
      </c>
      <c r="B42" s="33">
        <f t="shared" si="0"/>
        <v>2.1377300000000004</v>
      </c>
      <c r="C42" s="34">
        <v>5.4199132000000002E-3</v>
      </c>
      <c r="D42" s="29">
        <v>2.1456111E-2</v>
      </c>
      <c r="E42" s="30">
        <v>7.9386132999999998E-2</v>
      </c>
      <c r="F42" s="33">
        <f t="shared" si="1"/>
        <v>2.1377300000000004</v>
      </c>
      <c r="G42" s="29">
        <v>3.9773849E-2</v>
      </c>
      <c r="H42" s="29">
        <v>0.11031813</v>
      </c>
      <c r="I42" s="31">
        <v>0.15638346</v>
      </c>
    </row>
    <row r="43" spans="1:9" s="32" customFormat="1" ht="15" customHeight="1">
      <c r="A43" s="27">
        <v>2.3222300000000002</v>
      </c>
      <c r="B43" s="33">
        <f t="shared" si="0"/>
        <v>2.3222300000000002</v>
      </c>
      <c r="C43" s="34">
        <v>5.7410674E-3</v>
      </c>
      <c r="D43" s="29">
        <v>2.0325587999999999E-2</v>
      </c>
      <c r="E43" s="30">
        <v>7.2429437999999999E-2</v>
      </c>
      <c r="F43" s="28">
        <f t="shared" si="1"/>
        <v>2.3222300000000002</v>
      </c>
      <c r="G43" s="29">
        <v>3.4538161999999997E-2</v>
      </c>
      <c r="H43" s="29">
        <v>0.19369696</v>
      </c>
      <c r="I43" s="31">
        <v>0.25817052000000001</v>
      </c>
    </row>
    <row r="44" spans="1:9" s="32" customFormat="1" ht="15" customHeight="1">
      <c r="A44" s="27">
        <v>2.5067300000000001</v>
      </c>
      <c r="B44" s="33">
        <f t="shared" si="0"/>
        <v>2.5067300000000001</v>
      </c>
      <c r="C44" s="34">
        <v>9.0939018999999996E-3</v>
      </c>
      <c r="D44" s="29">
        <v>2.6367429000000001E-2</v>
      </c>
      <c r="E44" s="30">
        <v>8.3284037000000005E-2</v>
      </c>
      <c r="F44" s="33">
        <f t="shared" si="1"/>
        <v>2.5067300000000001</v>
      </c>
      <c r="G44" s="29">
        <v>4.1043785999999999E-2</v>
      </c>
      <c r="H44" s="29">
        <v>0.27561403000000001</v>
      </c>
      <c r="I44" s="31">
        <v>0.40544076000000001</v>
      </c>
    </row>
    <row r="45" spans="1:9" s="32" customFormat="1" ht="15" customHeight="1">
      <c r="A45" s="27">
        <v>2.69123</v>
      </c>
      <c r="B45" s="33">
        <f t="shared" si="0"/>
        <v>2.69123</v>
      </c>
      <c r="C45" s="34">
        <v>1.0403236E-2</v>
      </c>
      <c r="D45" s="29">
        <v>3.2924556000000001E-2</v>
      </c>
      <c r="E45" s="30">
        <v>9.4640460999999995E-2</v>
      </c>
      <c r="F45" s="28">
        <f t="shared" si="1"/>
        <v>2.69123</v>
      </c>
      <c r="G45" s="29">
        <v>3.4078487999999997E-2</v>
      </c>
      <c r="H45" s="29">
        <v>0.32565922000000003</v>
      </c>
      <c r="I45" s="31">
        <v>0.45829259</v>
      </c>
    </row>
    <row r="46" spans="1:9" s="32" customFormat="1" ht="15" customHeight="1">
      <c r="A46" s="27">
        <v>2.8757300000000003</v>
      </c>
      <c r="B46" s="33">
        <f t="shared" si="0"/>
        <v>2.8757300000000003</v>
      </c>
      <c r="C46" s="34">
        <v>1.5246272E-2</v>
      </c>
      <c r="D46" s="29">
        <v>5.3574245999999999E-2</v>
      </c>
      <c r="E46" s="30">
        <v>0.16913528</v>
      </c>
      <c r="F46" s="33">
        <f t="shared" si="1"/>
        <v>2.8757300000000003</v>
      </c>
      <c r="G46" s="29">
        <v>5.7289913999999997E-2</v>
      </c>
      <c r="H46" s="29">
        <v>0.36530096000000001</v>
      </c>
      <c r="I46" s="31">
        <v>0.50323309000000005</v>
      </c>
    </row>
    <row r="47" spans="1:9" s="32" customFormat="1" ht="15" customHeight="1">
      <c r="A47" s="27">
        <v>3.0602300000000002</v>
      </c>
      <c r="B47" s="33">
        <f t="shared" si="0"/>
        <v>3.0602300000000002</v>
      </c>
      <c r="C47" s="34">
        <v>1.8212586999999999E-2</v>
      </c>
      <c r="D47" s="29">
        <v>4.6673107999999998E-2</v>
      </c>
      <c r="E47" s="30">
        <v>0.15734540999999999</v>
      </c>
      <c r="F47" s="28">
        <f t="shared" si="1"/>
        <v>3.0602300000000002</v>
      </c>
      <c r="G47" s="29">
        <v>5.4860667000000002E-2</v>
      </c>
      <c r="H47" s="29">
        <v>0.38605592999999999</v>
      </c>
      <c r="I47" s="31">
        <v>0.52106476000000002</v>
      </c>
    </row>
    <row r="48" spans="1:9" s="32" customFormat="1" ht="15" customHeight="1">
      <c r="A48" s="27">
        <v>3.2447300000000001</v>
      </c>
      <c r="B48" s="33">
        <f t="shared" si="0"/>
        <v>3.2447300000000001</v>
      </c>
      <c r="C48" s="34">
        <v>1.7075718E-2</v>
      </c>
      <c r="D48" s="29">
        <v>4.7494492999999999E-2</v>
      </c>
      <c r="E48" s="30">
        <v>0.13288596</v>
      </c>
      <c r="F48" s="33">
        <f t="shared" si="1"/>
        <v>3.2447300000000001</v>
      </c>
      <c r="G48" s="29">
        <v>4.9716738000000003E-2</v>
      </c>
      <c r="H48" s="29">
        <v>0.39929712000000001</v>
      </c>
      <c r="I48" s="31">
        <v>0.56544329000000004</v>
      </c>
    </row>
    <row r="49" spans="1:9" s="32" customFormat="1" ht="15" customHeight="1">
      <c r="A49" s="27">
        <v>3.4292300000000004</v>
      </c>
      <c r="B49" s="33">
        <f t="shared" si="0"/>
        <v>3.4292300000000004</v>
      </c>
      <c r="C49" s="34">
        <v>2.0156729000000002E-2</v>
      </c>
      <c r="D49" s="29">
        <v>5.2355799000000001E-2</v>
      </c>
      <c r="E49" s="30">
        <v>0.15409638000000001</v>
      </c>
      <c r="F49" s="28">
        <f t="shared" si="1"/>
        <v>3.4292300000000004</v>
      </c>
      <c r="G49" s="29">
        <v>4.6069286000000001E-2</v>
      </c>
      <c r="H49" s="29">
        <v>0.38508576999999999</v>
      </c>
      <c r="I49" s="31">
        <v>0.55148235999999995</v>
      </c>
    </row>
    <row r="50" spans="1:9" s="32" customFormat="1" ht="15" customHeight="1">
      <c r="A50" s="27">
        <v>3.6137300000000003</v>
      </c>
      <c r="B50" s="33">
        <f t="shared" si="0"/>
        <v>3.6137300000000003</v>
      </c>
      <c r="C50" s="34">
        <v>1.7084307999999999E-2</v>
      </c>
      <c r="D50" s="29">
        <v>4.9833035999999997E-2</v>
      </c>
      <c r="E50" s="30">
        <v>0.13979902999999999</v>
      </c>
      <c r="F50" s="33">
        <f t="shared" si="1"/>
        <v>3.6137300000000003</v>
      </c>
      <c r="G50" s="29">
        <v>4.1352698E-2</v>
      </c>
      <c r="H50" s="29">
        <v>0.26745254000000002</v>
      </c>
      <c r="I50" s="31">
        <v>0.42795164000000002</v>
      </c>
    </row>
    <row r="51" spans="1:9" s="32" customFormat="1" ht="15" customHeight="1">
      <c r="A51" s="27">
        <v>3.7982300000000002</v>
      </c>
      <c r="B51" s="33">
        <f t="shared" si="0"/>
        <v>3.7982300000000002</v>
      </c>
      <c r="C51" s="34">
        <v>1.6853920000000001E-2</v>
      </c>
      <c r="D51" s="29">
        <v>5.1598508000000001E-2</v>
      </c>
      <c r="E51" s="30">
        <v>0.14305017</v>
      </c>
      <c r="F51" s="28">
        <f t="shared" si="1"/>
        <v>3.7982300000000002</v>
      </c>
      <c r="G51" s="29">
        <v>4.3042838E-2</v>
      </c>
      <c r="H51" s="29">
        <v>0.12383767</v>
      </c>
      <c r="I51" s="31">
        <v>0.15586795000000001</v>
      </c>
    </row>
    <row r="52" spans="1:9" s="32" customFormat="1" ht="15" customHeight="1">
      <c r="A52" s="27">
        <v>3.9827300000000001</v>
      </c>
      <c r="B52" s="33">
        <f t="shared" si="0"/>
        <v>3.9827300000000001</v>
      </c>
      <c r="C52" s="34">
        <v>2.4014407000000002E-2</v>
      </c>
      <c r="D52" s="29">
        <v>5.1744999E-2</v>
      </c>
      <c r="E52" s="30">
        <v>0.17389916999999999</v>
      </c>
      <c r="F52" s="33">
        <f t="shared" si="1"/>
        <v>3.9827300000000001</v>
      </c>
      <c r="G52" s="29">
        <v>5.0417505000000001E-2</v>
      </c>
      <c r="H52" s="29">
        <v>3.3204270000000001E-2</v>
      </c>
      <c r="I52" s="31">
        <v>4.6651999999999999E-2</v>
      </c>
    </row>
    <row r="53" spans="1:9" s="32" customFormat="1" ht="15" customHeight="1">
      <c r="A53" s="27">
        <v>4.16723</v>
      </c>
      <c r="B53" s="33">
        <f t="shared" si="0"/>
        <v>4.16723</v>
      </c>
      <c r="C53" s="34">
        <v>2.3325022000000001E-2</v>
      </c>
      <c r="D53" s="29">
        <v>7.2600797999999994E-2</v>
      </c>
      <c r="E53" s="30">
        <v>0.18123033</v>
      </c>
      <c r="F53" s="28">
        <f t="shared" si="1"/>
        <v>4.16723</v>
      </c>
      <c r="G53" s="29">
        <v>4.7191628999999999E-2</v>
      </c>
      <c r="H53" s="29">
        <v>2.9497018999999999E-2</v>
      </c>
      <c r="I53" s="31">
        <v>4.7953128999999997E-2</v>
      </c>
    </row>
    <row r="54" spans="1:9" s="32" customFormat="1" ht="15" customHeight="1">
      <c r="A54" s="27">
        <v>4.3517300000000008</v>
      </c>
      <c r="B54" s="33">
        <f t="shared" si="0"/>
        <v>4.3517300000000008</v>
      </c>
      <c r="C54" s="34">
        <v>2.1760093000000001E-2</v>
      </c>
      <c r="D54" s="29">
        <v>6.0966489999999998E-2</v>
      </c>
      <c r="E54" s="30">
        <v>0.14690685000000001</v>
      </c>
      <c r="F54" s="33">
        <f t="shared" si="1"/>
        <v>4.3517300000000008</v>
      </c>
      <c r="G54" s="29">
        <v>4.5350224000000001E-2</v>
      </c>
      <c r="H54" s="29">
        <v>3.5971905999999998E-2</v>
      </c>
      <c r="I54" s="31">
        <v>5.7113886000000003E-2</v>
      </c>
    </row>
    <row r="55" spans="1:9" s="32" customFormat="1" ht="15" customHeight="1">
      <c r="A55" s="27">
        <v>4.5362300000000007</v>
      </c>
      <c r="B55" s="33">
        <f t="shared" si="0"/>
        <v>4.5362300000000007</v>
      </c>
      <c r="C55" s="34">
        <v>2.4700842000000001E-2</v>
      </c>
      <c r="D55" s="29">
        <v>7.1062149000000005E-2</v>
      </c>
      <c r="E55" s="30">
        <v>0.19340193</v>
      </c>
      <c r="F55" s="28">
        <f t="shared" si="1"/>
        <v>4.5362300000000007</v>
      </c>
      <c r="G55" s="29">
        <v>4.2852273000000003E-2</v>
      </c>
      <c r="H55" s="29">
        <v>2.7810944000000001E-2</v>
      </c>
      <c r="I55" s="31">
        <v>3.4978196000000003E-2</v>
      </c>
    </row>
    <row r="56" spans="1:9" s="32" customFormat="1" ht="15" customHeight="1">
      <c r="A56" s="27">
        <v>4.7207300000000005</v>
      </c>
      <c r="B56" s="33">
        <f t="shared" si="0"/>
        <v>4.7207300000000005</v>
      </c>
      <c r="C56" s="34">
        <v>2.5840137999999999E-2</v>
      </c>
      <c r="D56" s="29">
        <v>6.3213386999999996E-2</v>
      </c>
      <c r="E56" s="30">
        <v>0.1766219</v>
      </c>
      <c r="F56" s="33">
        <f t="shared" si="1"/>
        <v>4.7207300000000005</v>
      </c>
      <c r="G56" s="29">
        <v>4.1747214999999997E-2</v>
      </c>
      <c r="H56" s="29">
        <v>3.8933448000000002E-2</v>
      </c>
      <c r="I56" s="31">
        <v>6.5313640000000006E-2</v>
      </c>
    </row>
    <row r="57" spans="1:9" s="32" customFormat="1" ht="15" customHeight="1">
      <c r="A57" s="27">
        <v>4.9052300000000004</v>
      </c>
      <c r="B57" s="33">
        <f t="shared" si="0"/>
        <v>4.9052300000000004</v>
      </c>
      <c r="C57" s="34">
        <v>2.7739521E-2</v>
      </c>
      <c r="D57" s="29">
        <v>0.1075367</v>
      </c>
      <c r="E57" s="30">
        <v>0.30881450999999999</v>
      </c>
      <c r="F57" s="28">
        <f t="shared" si="1"/>
        <v>4.9052300000000004</v>
      </c>
      <c r="G57" s="29">
        <v>4.1625426E-2</v>
      </c>
      <c r="H57" s="29">
        <v>5.1420489999999999E-2</v>
      </c>
      <c r="I57" s="31">
        <v>0.12478549</v>
      </c>
    </row>
    <row r="58" spans="1:9" s="32" customFormat="1" ht="15" customHeight="1">
      <c r="A58" s="27">
        <v>5.0897300000000003</v>
      </c>
      <c r="B58" s="33">
        <f t="shared" si="0"/>
        <v>5.0897300000000003</v>
      </c>
      <c r="C58" s="34">
        <v>2.8349516000000002E-2</v>
      </c>
      <c r="D58" s="29">
        <v>9.4307579000000002E-2</v>
      </c>
      <c r="E58" s="30">
        <v>0.27828340000000001</v>
      </c>
      <c r="F58" s="33">
        <f t="shared" si="1"/>
        <v>5.0897300000000003</v>
      </c>
      <c r="G58" s="29">
        <v>3.7583882999999998E-2</v>
      </c>
      <c r="H58" s="29">
        <v>5.0628702999999997E-2</v>
      </c>
      <c r="I58" s="31">
        <v>0.14789300999999999</v>
      </c>
    </row>
    <row r="59" spans="1:9" s="32" customFormat="1" ht="15" customHeight="1">
      <c r="A59" s="27">
        <v>5.2742300000000002</v>
      </c>
      <c r="B59" s="33">
        <f t="shared" si="0"/>
        <v>5.2742300000000002</v>
      </c>
      <c r="C59" s="34">
        <v>1.5479928E-2</v>
      </c>
      <c r="D59" s="29">
        <v>0.13014932000000001</v>
      </c>
      <c r="E59" s="30">
        <v>0.30387252999999997</v>
      </c>
      <c r="F59" s="28">
        <f t="shared" si="1"/>
        <v>5.2742300000000002</v>
      </c>
      <c r="G59" s="29">
        <v>0.15262877</v>
      </c>
      <c r="H59" s="29">
        <v>1.2075731999999999</v>
      </c>
      <c r="I59" s="31">
        <v>2.0921324000000001</v>
      </c>
    </row>
    <row r="60" spans="1:9" s="32" customFormat="1" ht="15" customHeight="1">
      <c r="A60" s="27"/>
      <c r="B60" s="33"/>
      <c r="C60" s="34"/>
      <c r="D60" s="29"/>
      <c r="E60" s="30"/>
      <c r="F60" s="33"/>
      <c r="G60" s="29"/>
      <c r="H60" s="29"/>
      <c r="I60" s="31"/>
    </row>
    <row r="61" spans="1:9" s="32" customFormat="1" ht="15" customHeight="1">
      <c r="A61" s="27"/>
      <c r="B61" s="33"/>
      <c r="C61" s="34"/>
      <c r="D61" s="29"/>
      <c r="E61" s="30"/>
      <c r="F61" s="28"/>
      <c r="G61" s="29"/>
      <c r="H61" s="29"/>
      <c r="I61" s="31"/>
    </row>
    <row r="62" spans="1:9" s="32" customFormat="1" ht="15" customHeight="1">
      <c r="A62" s="27"/>
      <c r="B62" s="33"/>
      <c r="C62" s="34"/>
      <c r="D62" s="29"/>
      <c r="E62" s="30"/>
      <c r="F62" s="33"/>
      <c r="G62" s="29"/>
      <c r="H62" s="29"/>
      <c r="I62" s="31"/>
    </row>
    <row r="63" spans="1:9" s="32" customFormat="1" ht="15" customHeight="1">
      <c r="A63" s="27"/>
      <c r="B63" s="33"/>
      <c r="C63" s="34"/>
      <c r="D63" s="29"/>
      <c r="E63" s="30"/>
      <c r="F63" s="33"/>
      <c r="G63" s="29"/>
      <c r="H63" s="29"/>
      <c r="I63" s="31"/>
    </row>
    <row r="64" spans="1:9" s="32" customFormat="1" ht="15" customHeight="1">
      <c r="A64" s="27"/>
      <c r="B64" s="33"/>
      <c r="C64" s="34"/>
      <c r="D64" s="29"/>
      <c r="E64" s="30"/>
      <c r="F64" s="33"/>
      <c r="G64" s="29"/>
      <c r="H64" s="29"/>
      <c r="I64" s="31"/>
    </row>
    <row r="65" spans="1:12" s="32" customFormat="1" ht="15" customHeight="1">
      <c r="A65" s="27"/>
      <c r="B65" s="33"/>
      <c r="C65" s="34"/>
      <c r="D65" s="29"/>
      <c r="E65" s="30"/>
      <c r="F65" s="33"/>
      <c r="G65" s="29"/>
      <c r="H65" s="29"/>
      <c r="I65" s="31"/>
    </row>
    <row r="66" spans="1:12" s="32" customFormat="1" ht="15" customHeight="1">
      <c r="A66" s="27"/>
      <c r="B66" s="33"/>
      <c r="C66" s="34"/>
      <c r="D66" s="29"/>
      <c r="E66" s="30"/>
      <c r="F66" s="33"/>
      <c r="G66" s="29"/>
      <c r="H66" s="29"/>
      <c r="I66" s="31"/>
    </row>
    <row r="67" spans="1:12" s="32" customFormat="1" ht="15" customHeight="1">
      <c r="A67" s="27"/>
      <c r="B67" s="33"/>
      <c r="C67" s="34"/>
      <c r="D67" s="29"/>
      <c r="E67" s="30"/>
      <c r="F67" s="33"/>
      <c r="G67" s="29"/>
      <c r="H67" s="29"/>
      <c r="I67" s="31"/>
    </row>
    <row r="68" spans="1:12" s="32" customFormat="1" ht="15" customHeight="1">
      <c r="A68" s="27"/>
      <c r="B68" s="33"/>
      <c r="C68" s="34"/>
      <c r="D68" s="29"/>
      <c r="E68" s="30"/>
      <c r="F68" s="33"/>
      <c r="G68" s="29"/>
      <c r="H68" s="29"/>
      <c r="I68" s="31"/>
    </row>
    <row r="69" spans="1:12" s="32" customFormat="1" ht="15" customHeight="1">
      <c r="A69" s="27"/>
      <c r="B69" s="33"/>
      <c r="C69" s="34"/>
      <c r="D69" s="29"/>
      <c r="E69" s="30"/>
      <c r="F69" s="33"/>
      <c r="G69" s="29"/>
      <c r="H69" s="29"/>
      <c r="I69" s="31"/>
    </row>
    <row r="70" spans="1:12" s="32" customFormat="1" ht="15" customHeight="1">
      <c r="A70" s="27"/>
      <c r="B70" s="33"/>
      <c r="C70" s="34"/>
      <c r="D70" s="29"/>
      <c r="E70" s="30"/>
      <c r="F70" s="33"/>
      <c r="G70" s="29"/>
      <c r="H70" s="29"/>
      <c r="I70" s="31"/>
    </row>
    <row r="71" spans="1:12" s="32" customFormat="1" ht="15" customHeight="1">
      <c r="A71" s="35"/>
      <c r="B71" s="33"/>
      <c r="C71" s="34"/>
      <c r="D71" s="29"/>
      <c r="E71" s="30"/>
      <c r="F71" s="33"/>
      <c r="G71" s="29"/>
      <c r="H71" s="29"/>
      <c r="I71" s="31"/>
    </row>
    <row r="72" spans="1:12" s="32" customFormat="1" ht="15" customHeight="1">
      <c r="A72" s="35"/>
      <c r="B72" s="33"/>
      <c r="C72" s="34"/>
      <c r="D72" s="29"/>
      <c r="E72" s="30"/>
      <c r="F72" s="33"/>
      <c r="G72" s="29"/>
      <c r="H72" s="29"/>
      <c r="I72" s="31"/>
    </row>
    <row r="73" spans="1:12" s="32" customFormat="1" ht="15" customHeight="1">
      <c r="A73" s="35"/>
      <c r="B73" s="33"/>
      <c r="C73" s="34"/>
      <c r="D73" s="29"/>
      <c r="E73" s="30"/>
      <c r="F73" s="33"/>
      <c r="G73" s="29"/>
      <c r="H73" s="29"/>
      <c r="I73" s="31"/>
    </row>
    <row r="74" spans="1:12" s="32" customFormat="1" ht="15" customHeight="1">
      <c r="A74" s="35"/>
      <c r="B74" s="33"/>
      <c r="C74" s="34"/>
      <c r="D74" s="29"/>
      <c r="E74" s="30"/>
      <c r="F74" s="33"/>
      <c r="G74" s="29"/>
      <c r="H74" s="29"/>
      <c r="I74" s="31"/>
    </row>
    <row r="75" spans="1:12" s="32" customFormat="1" ht="15" customHeight="1">
      <c r="A75" s="35"/>
      <c r="B75" s="33"/>
      <c r="C75" s="34"/>
      <c r="D75" s="29"/>
      <c r="E75" s="30"/>
      <c r="F75" s="33"/>
      <c r="G75" s="29"/>
      <c r="H75" s="29"/>
      <c r="I75" s="31"/>
    </row>
    <row r="76" spans="1:12" s="32" customFormat="1" ht="15" customHeight="1">
      <c r="A76" s="35"/>
      <c r="B76" s="33"/>
      <c r="C76" s="34"/>
      <c r="D76" s="29"/>
      <c r="E76" s="30"/>
      <c r="F76" s="33"/>
      <c r="G76" s="29"/>
      <c r="H76" s="29"/>
      <c r="I76" s="31"/>
    </row>
    <row r="77" spans="1:12" ht="15" customHeight="1">
      <c r="A77" s="36"/>
      <c r="B77" s="33"/>
      <c r="C77" s="34"/>
      <c r="D77" s="29"/>
      <c r="E77" s="30"/>
      <c r="F77" s="33"/>
      <c r="G77" s="29"/>
      <c r="H77" s="29"/>
      <c r="I77" s="31"/>
      <c r="J77" s="32"/>
      <c r="K77" s="32"/>
      <c r="L77" s="32"/>
    </row>
    <row r="78" spans="1:12" ht="15" customHeight="1">
      <c r="A78" s="36"/>
      <c r="B78" s="33"/>
      <c r="C78" s="34"/>
      <c r="D78" s="29"/>
      <c r="E78" s="30"/>
      <c r="F78" s="33"/>
      <c r="G78" s="29"/>
      <c r="H78" s="29"/>
      <c r="I78" s="31"/>
      <c r="J78" s="32"/>
      <c r="K78" s="32"/>
      <c r="L78" s="32"/>
    </row>
    <row r="79" spans="1:12" ht="15" customHeight="1">
      <c r="A79" s="36"/>
      <c r="B79" s="33"/>
      <c r="C79" s="34"/>
      <c r="D79" s="29"/>
      <c r="E79" s="30"/>
      <c r="F79" s="33"/>
      <c r="G79" s="29"/>
      <c r="H79" s="29"/>
      <c r="I79" s="31"/>
    </row>
    <row r="80" spans="1:12" ht="15" customHeight="1">
      <c r="A80" s="36"/>
      <c r="B80" s="37"/>
      <c r="C80" s="38"/>
      <c r="D80" s="38"/>
      <c r="E80" s="39"/>
      <c r="F80" s="37"/>
      <c r="G80" s="38"/>
      <c r="H80" s="38"/>
      <c r="I80" s="40"/>
    </row>
    <row r="81" spans="1:9" ht="15" customHeight="1">
      <c r="A81" s="36"/>
      <c r="B81" s="37"/>
      <c r="C81" s="38"/>
      <c r="D81" s="38"/>
      <c r="E81" s="39"/>
      <c r="F81" s="37"/>
      <c r="G81" s="38"/>
      <c r="H81" s="38"/>
      <c r="I81" s="40"/>
    </row>
    <row r="82" spans="1:9" ht="15" customHeight="1">
      <c r="A82" s="36"/>
      <c r="B82" s="37"/>
      <c r="C82" s="38"/>
      <c r="D82" s="38"/>
      <c r="E82" s="39"/>
      <c r="F82" s="37"/>
      <c r="G82" s="38"/>
      <c r="H82" s="38"/>
      <c r="I82" s="40"/>
    </row>
    <row r="83" spans="1:9" ht="15" customHeight="1">
      <c r="A83" s="36"/>
      <c r="B83" s="37"/>
      <c r="C83" s="38"/>
      <c r="D83" s="38"/>
      <c r="E83" s="39"/>
      <c r="F83" s="37"/>
      <c r="G83" s="38"/>
      <c r="H83" s="38"/>
      <c r="I83" s="40"/>
    </row>
    <row r="84" spans="1:9" ht="15" customHeight="1" thickBot="1">
      <c r="A84" s="41"/>
      <c r="B84" s="42"/>
      <c r="C84" s="43"/>
      <c r="D84" s="43"/>
      <c r="E84" s="44"/>
      <c r="F84" s="42"/>
      <c r="G84" s="43"/>
      <c r="H84" s="43"/>
      <c r="I84" s="45"/>
    </row>
  </sheetData>
  <mergeCells count="4">
    <mergeCell ref="A19:A21"/>
    <mergeCell ref="B19:I19"/>
    <mergeCell ref="B20:E20"/>
    <mergeCell ref="F20:I20"/>
  </mergeCells>
  <phoneticPr fontId="3" type="noConversion"/>
  <pageMargins left="0.75" right="0.75" top="1" bottom="1" header="0.51200000000000001" footer="0.51200000000000001"/>
  <pageSetup paperSize="9" scale="59" orientation="portrait" verticalDpi="4294967293" r:id="rId1"/>
  <headerFooter alignWithMargins="0"/>
  <rowBreaks count="1" manualBreakCount="1">
    <brk id="1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963D-AE53-4346-BC6A-7F7532E87E6D}">
  <dimension ref="A1:L84"/>
  <sheetViews>
    <sheetView view="pageBreakPreview" topLeftCell="A32" zoomScaleNormal="100" zoomScaleSheetLayoutView="100" workbookViewId="0">
      <selection activeCell="C23" sqref="C23:E59"/>
    </sheetView>
  </sheetViews>
  <sheetFormatPr defaultColWidth="8" defaultRowHeight="15" customHeight="1"/>
  <cols>
    <col min="1" max="9" width="7.6640625" style="17" customWidth="1"/>
    <col min="10" max="11" width="8" style="17"/>
    <col min="12" max="12" width="9" style="17" bestFit="1" customWidth="1"/>
    <col min="13" max="16384" width="8" style="17"/>
  </cols>
  <sheetData>
    <row r="1" spans="1:8" ht="15" customHeight="1">
      <c r="A1" s="16"/>
    </row>
    <row r="2" spans="1:8" ht="15" customHeight="1">
      <c r="A2" s="16" t="s">
        <v>59</v>
      </c>
      <c r="H2" s="17" t="s">
        <v>60</v>
      </c>
    </row>
    <row r="5" spans="1:8" ht="15" customHeight="1">
      <c r="A5" s="18"/>
    </row>
    <row r="9" spans="1:8" ht="15" customHeight="1">
      <c r="A9" s="18"/>
    </row>
    <row r="13" spans="1:8" ht="15" customHeight="1">
      <c r="A13" s="18"/>
    </row>
    <row r="17" spans="1:9" ht="15" customHeight="1">
      <c r="A17" s="18"/>
    </row>
    <row r="18" spans="1:9" ht="15" customHeight="1" thickBot="1">
      <c r="A18" s="18" t="s">
        <v>61</v>
      </c>
    </row>
    <row r="19" spans="1:9" ht="15" customHeight="1" thickBot="1">
      <c r="A19" s="51" t="s">
        <v>62</v>
      </c>
      <c r="B19" s="54" t="s">
        <v>63</v>
      </c>
      <c r="C19" s="54"/>
      <c r="D19" s="54"/>
      <c r="E19" s="54"/>
      <c r="F19" s="55"/>
      <c r="G19" s="55"/>
      <c r="H19" s="55"/>
      <c r="I19" s="56"/>
    </row>
    <row r="20" spans="1:9" ht="15" customHeight="1" thickBot="1">
      <c r="A20" s="52"/>
      <c r="B20" s="57" t="s">
        <v>64</v>
      </c>
      <c r="C20" s="58"/>
      <c r="D20" s="58"/>
      <c r="E20" s="59"/>
      <c r="F20" s="57" t="s">
        <v>65</v>
      </c>
      <c r="G20" s="58"/>
      <c r="H20" s="60"/>
      <c r="I20" s="59"/>
    </row>
    <row r="21" spans="1:9" ht="15" customHeight="1">
      <c r="A21" s="53"/>
      <c r="B21" s="19" t="s">
        <v>66</v>
      </c>
      <c r="C21" s="20" t="s">
        <v>67</v>
      </c>
      <c r="D21" s="20" t="s">
        <v>68</v>
      </c>
      <c r="E21" s="21" t="s">
        <v>69</v>
      </c>
      <c r="F21" s="46" t="s">
        <v>66</v>
      </c>
      <c r="G21" s="47" t="s">
        <v>67</v>
      </c>
      <c r="H21" s="47" t="s">
        <v>68</v>
      </c>
      <c r="I21" s="48" t="s">
        <v>69</v>
      </c>
    </row>
    <row r="22" spans="1:9" ht="15" customHeight="1" thickBot="1">
      <c r="A22" s="22" t="s">
        <v>70</v>
      </c>
      <c r="B22" s="23" t="s">
        <v>70</v>
      </c>
      <c r="C22" s="24" t="s">
        <v>71</v>
      </c>
      <c r="D22" s="24" t="s">
        <v>71</v>
      </c>
      <c r="E22" s="25" t="s">
        <v>71</v>
      </c>
      <c r="F22" s="23" t="s">
        <v>70</v>
      </c>
      <c r="G22" s="24" t="s">
        <v>71</v>
      </c>
      <c r="H22" s="24" t="s">
        <v>71</v>
      </c>
      <c r="I22" s="26" t="s">
        <v>71</v>
      </c>
    </row>
    <row r="23" spans="1:9" s="32" customFormat="1" ht="15" customHeight="1">
      <c r="A23" s="27">
        <v>0</v>
      </c>
      <c r="B23" s="28">
        <f>A23</f>
        <v>0</v>
      </c>
      <c r="C23" s="29">
        <v>5.6799156999999996E-3</v>
      </c>
      <c r="D23" s="29">
        <v>1.2902032E-3</v>
      </c>
      <c r="E23" s="30">
        <v>4.2714192000000003E-3</v>
      </c>
      <c r="F23" s="28">
        <f>A23</f>
        <v>0</v>
      </c>
      <c r="G23" s="29">
        <v>-5.6197173999999999E-3</v>
      </c>
      <c r="H23" s="29">
        <v>2.6138236000000001E-3</v>
      </c>
      <c r="I23" s="31">
        <v>2.7136693999999999E-2</v>
      </c>
    </row>
    <row r="24" spans="1:9" s="32" customFormat="1" ht="15" customHeight="1">
      <c r="A24" s="27">
        <v>0.10822999999999999</v>
      </c>
      <c r="B24" s="33">
        <f>A24</f>
        <v>0.10822999999999999</v>
      </c>
      <c r="C24" s="34">
        <v>5.0557948999999996E-3</v>
      </c>
      <c r="D24" s="29">
        <v>3.1864638999999999E-3</v>
      </c>
      <c r="E24" s="30">
        <v>8.9649025999999996E-3</v>
      </c>
      <c r="F24" s="33">
        <f>A24</f>
        <v>0.10822999999999999</v>
      </c>
      <c r="G24" s="29">
        <v>-7.4445522999999998E-3</v>
      </c>
      <c r="H24" s="29">
        <v>5.9941138999999996E-3</v>
      </c>
      <c r="I24" s="31">
        <v>3.8526447999999998E-2</v>
      </c>
    </row>
    <row r="25" spans="1:9" s="32" customFormat="1" ht="15" customHeight="1">
      <c r="A25" s="27">
        <v>0.29272999999999999</v>
      </c>
      <c r="B25" s="33">
        <f t="shared" ref="B25:B59" si="0">A25</f>
        <v>0.29272999999999999</v>
      </c>
      <c r="C25" s="34">
        <v>-2.4688697000000001E-3</v>
      </c>
      <c r="D25" s="29">
        <v>2.1555580000000001E-3</v>
      </c>
      <c r="E25" s="30">
        <v>1.2457698E-2</v>
      </c>
      <c r="F25" s="28">
        <f t="shared" ref="F25:F59" si="1">A25</f>
        <v>0.29272999999999999</v>
      </c>
      <c r="G25" s="29">
        <v>-1.2594246E-2</v>
      </c>
      <c r="H25" s="29">
        <v>3.7287466E-3</v>
      </c>
      <c r="I25" s="31">
        <v>5.0677817999999999E-2</v>
      </c>
    </row>
    <row r="26" spans="1:9" s="32" customFormat="1" ht="15" customHeight="1">
      <c r="A26" s="27">
        <v>0.47722999999999999</v>
      </c>
      <c r="B26" s="33">
        <f t="shared" si="0"/>
        <v>0.47722999999999999</v>
      </c>
      <c r="C26" s="34">
        <v>-4.1169157999999999E-3</v>
      </c>
      <c r="D26" s="29">
        <v>3.8691482999999999E-3</v>
      </c>
      <c r="E26" s="30">
        <v>2.0276345000000001E-2</v>
      </c>
      <c r="F26" s="33">
        <f t="shared" si="1"/>
        <v>0.47722999999999999</v>
      </c>
      <c r="G26" s="29">
        <v>-2.3125197E-2</v>
      </c>
      <c r="H26" s="29">
        <v>6.0768882E-3</v>
      </c>
      <c r="I26" s="31">
        <v>8.4657985000000005E-2</v>
      </c>
    </row>
    <row r="27" spans="1:9" s="32" customFormat="1" ht="15" customHeight="1">
      <c r="A27" s="27">
        <v>0.56947999999999999</v>
      </c>
      <c r="B27" s="33">
        <f t="shared" si="0"/>
        <v>0.56947999999999999</v>
      </c>
      <c r="C27" s="34">
        <v>-9.7977099999999994E-4</v>
      </c>
      <c r="D27" s="29">
        <v>2.4706098000000002E-3</v>
      </c>
      <c r="E27" s="30">
        <v>1.0211947000000001E-2</v>
      </c>
      <c r="F27" s="28">
        <f t="shared" si="1"/>
        <v>0.56947999999999999</v>
      </c>
      <c r="G27" s="29">
        <v>-7.3749875999999997E-3</v>
      </c>
      <c r="H27" s="29">
        <v>3.5028250000000002E-3</v>
      </c>
      <c r="I27" s="31">
        <v>3.3815677000000002E-2</v>
      </c>
    </row>
    <row r="28" spans="1:9" s="32" customFormat="1" ht="15" customHeight="1">
      <c r="A28" s="27">
        <v>0.66173000000000015</v>
      </c>
      <c r="B28" s="33">
        <f t="shared" si="0"/>
        <v>0.66173000000000015</v>
      </c>
      <c r="C28" s="34">
        <v>4.6381868000000001E-3</v>
      </c>
      <c r="D28" s="29">
        <v>3.9602515999999999E-3</v>
      </c>
      <c r="E28" s="30">
        <v>1.0606496E-2</v>
      </c>
      <c r="F28" s="33">
        <f t="shared" si="1"/>
        <v>0.66173000000000015</v>
      </c>
      <c r="G28" s="29">
        <v>1.7843576E-2</v>
      </c>
      <c r="H28" s="29">
        <v>3.2276848E-3</v>
      </c>
      <c r="I28" s="31">
        <v>-4.6436554000000001E-3</v>
      </c>
    </row>
    <row r="29" spans="1:9" s="32" customFormat="1" ht="15" customHeight="1">
      <c r="A29" s="27">
        <v>0.75398000000000009</v>
      </c>
      <c r="B29" s="33">
        <f t="shared" si="0"/>
        <v>0.75398000000000009</v>
      </c>
      <c r="C29" s="34">
        <v>-4.7005711000000002E-3</v>
      </c>
      <c r="D29" s="29">
        <v>7.8895692999999996E-3</v>
      </c>
      <c r="E29" s="30">
        <v>2.9836721E-2</v>
      </c>
      <c r="F29" s="28">
        <f t="shared" si="1"/>
        <v>0.75398000000000009</v>
      </c>
      <c r="G29" s="29">
        <v>3.0331105000000001E-2</v>
      </c>
      <c r="H29" s="29">
        <v>3.4798479000000002E-3</v>
      </c>
      <c r="I29" s="31">
        <v>-2.0544049000000002E-2</v>
      </c>
    </row>
    <row r="30" spans="1:9" s="32" customFormat="1" ht="15" customHeight="1">
      <c r="A30" s="27">
        <v>0.84623000000000004</v>
      </c>
      <c r="B30" s="33">
        <f t="shared" si="0"/>
        <v>0.84623000000000004</v>
      </c>
      <c r="C30" s="34">
        <v>7.0867552000000002E-3</v>
      </c>
      <c r="D30" s="29">
        <v>0.17832284000000001</v>
      </c>
      <c r="E30" s="30">
        <v>0.25753047000000001</v>
      </c>
      <c r="F30" s="33">
        <f t="shared" si="1"/>
        <v>0.84623000000000004</v>
      </c>
      <c r="G30" s="29">
        <v>4.3785013999999997E-2</v>
      </c>
      <c r="H30" s="29">
        <v>1.2205661E-2</v>
      </c>
      <c r="I30" s="31">
        <v>1.2276253000000001E-2</v>
      </c>
    </row>
    <row r="31" spans="1:9" s="32" customFormat="1" ht="15" customHeight="1">
      <c r="A31" s="27">
        <v>0.9384800000000002</v>
      </c>
      <c r="B31" s="33">
        <f t="shared" si="0"/>
        <v>0.9384800000000002</v>
      </c>
      <c r="C31" s="34">
        <v>4.0124128000000001E-5</v>
      </c>
      <c r="D31" s="29">
        <v>0.25932941999999998</v>
      </c>
      <c r="E31" s="30">
        <v>0.37301445999999999</v>
      </c>
      <c r="F31" s="28">
        <f t="shared" si="1"/>
        <v>0.9384800000000002</v>
      </c>
      <c r="G31" s="29">
        <v>5.1322877000000003E-2</v>
      </c>
      <c r="H31" s="29">
        <v>1.5976252999999999E-2</v>
      </c>
      <c r="I31" s="31">
        <v>4.0803630999999996E-3</v>
      </c>
    </row>
    <row r="32" spans="1:9" s="32" customFormat="1" ht="15" customHeight="1">
      <c r="A32" s="27">
        <v>1.0307300000000001</v>
      </c>
      <c r="B32" s="33">
        <f t="shared" si="0"/>
        <v>1.0307300000000001</v>
      </c>
      <c r="C32" s="34">
        <v>-1.6793667000000001E-3</v>
      </c>
      <c r="D32" s="29">
        <v>0.24644916</v>
      </c>
      <c r="E32" s="30">
        <v>0.35594627000000001</v>
      </c>
      <c r="F32" s="33">
        <f t="shared" si="1"/>
        <v>1.0307300000000001</v>
      </c>
      <c r="G32" s="29">
        <v>4.8498765999999999E-2</v>
      </c>
      <c r="H32" s="29">
        <v>1.2819829E-2</v>
      </c>
      <c r="I32" s="31">
        <v>1.0115694000000001E-3</v>
      </c>
    </row>
    <row r="33" spans="1:9" s="32" customFormat="1" ht="15" customHeight="1">
      <c r="A33" s="27">
        <v>1.1229800000000001</v>
      </c>
      <c r="B33" s="33">
        <f t="shared" si="0"/>
        <v>1.1229800000000001</v>
      </c>
      <c r="C33" s="34">
        <v>-3.0792218999999999E-3</v>
      </c>
      <c r="D33" s="29">
        <v>0.12004565</v>
      </c>
      <c r="E33" s="30">
        <v>0.20080629</v>
      </c>
      <c r="F33" s="28">
        <f t="shared" si="1"/>
        <v>1.1229800000000001</v>
      </c>
      <c r="G33" s="29">
        <v>4.0694407000000002E-2</v>
      </c>
      <c r="H33" s="29">
        <v>1.5394474999999999E-2</v>
      </c>
      <c r="I33" s="31">
        <v>7.4453506000000001E-3</v>
      </c>
    </row>
    <row r="34" spans="1:9" s="32" customFormat="1" ht="15" customHeight="1">
      <c r="A34" s="27">
        <v>1.21523</v>
      </c>
      <c r="B34" s="33">
        <f t="shared" si="0"/>
        <v>1.21523</v>
      </c>
      <c r="C34" s="34">
        <v>1.9651307E-2</v>
      </c>
      <c r="D34" s="29">
        <v>1.9884255999999999E-2</v>
      </c>
      <c r="E34" s="30">
        <v>5.2582297E-2</v>
      </c>
      <c r="F34" s="33">
        <f t="shared" si="1"/>
        <v>1.21523</v>
      </c>
      <c r="G34" s="29">
        <v>7.6233205999999998E-2</v>
      </c>
      <c r="H34" s="29">
        <v>0.21625222</v>
      </c>
      <c r="I34" s="31">
        <v>0.26150233000000001</v>
      </c>
    </row>
    <row r="35" spans="1:9" s="32" customFormat="1" ht="15" customHeight="1">
      <c r="A35" s="27">
        <v>1.3074800000000002</v>
      </c>
      <c r="B35" s="33">
        <f t="shared" si="0"/>
        <v>1.3074800000000002</v>
      </c>
      <c r="C35" s="34">
        <v>1.4812629000000001E-2</v>
      </c>
      <c r="D35" s="29">
        <v>1.8620463E-2</v>
      </c>
      <c r="E35" s="30">
        <v>6.3019836999999995E-2</v>
      </c>
      <c r="F35" s="28">
        <f t="shared" si="1"/>
        <v>1.3074800000000002</v>
      </c>
      <c r="G35" s="29">
        <v>7.2689612000000001E-2</v>
      </c>
      <c r="H35" s="29">
        <v>0.2399425</v>
      </c>
      <c r="I35" s="31">
        <v>0.26635208999999999</v>
      </c>
    </row>
    <row r="36" spans="1:9" s="32" customFormat="1" ht="15" customHeight="1">
      <c r="A36" s="27">
        <v>1.3997300000000001</v>
      </c>
      <c r="B36" s="33">
        <f t="shared" si="0"/>
        <v>1.3997300000000001</v>
      </c>
      <c r="C36" s="34">
        <v>2.1497289999999999E-2</v>
      </c>
      <c r="D36" s="29">
        <v>2.0117161000000001E-2</v>
      </c>
      <c r="E36" s="30">
        <v>5.8010348000000003E-2</v>
      </c>
      <c r="F36" s="33">
        <f t="shared" si="1"/>
        <v>1.3997300000000001</v>
      </c>
      <c r="G36" s="29">
        <v>6.8555047999999993E-2</v>
      </c>
      <c r="H36" s="29">
        <v>0.21567555999999999</v>
      </c>
      <c r="I36" s="31">
        <v>0.27687484000000001</v>
      </c>
    </row>
    <row r="37" spans="1:9" s="32" customFormat="1" ht="15" customHeight="1">
      <c r="A37" s="27">
        <v>1.4919800000000001</v>
      </c>
      <c r="B37" s="33">
        <f t="shared" si="0"/>
        <v>1.4919800000000001</v>
      </c>
      <c r="C37" s="34">
        <v>3.4105898000000003E-2</v>
      </c>
      <c r="D37" s="29">
        <v>2.3749678999999999E-2</v>
      </c>
      <c r="E37" s="30">
        <v>6.0327706000000002E-2</v>
      </c>
      <c r="F37" s="28">
        <f t="shared" si="1"/>
        <v>1.4919800000000001</v>
      </c>
      <c r="G37" s="29">
        <v>5.4344178E-2</v>
      </c>
      <c r="H37" s="29">
        <v>9.6294228999999995E-2</v>
      </c>
      <c r="I37" s="31">
        <v>0.13718950999999999</v>
      </c>
    </row>
    <row r="38" spans="1:9" s="32" customFormat="1" ht="15" customHeight="1">
      <c r="A38" s="27">
        <v>1.5842300000000002</v>
      </c>
      <c r="B38" s="33">
        <f t="shared" si="0"/>
        <v>1.5842300000000002</v>
      </c>
      <c r="C38" s="34">
        <v>1.2788806999999999E-2</v>
      </c>
      <c r="D38" s="29">
        <v>1.8096832E-2</v>
      </c>
      <c r="E38" s="30">
        <v>5.2671133000000002E-2</v>
      </c>
      <c r="F38" s="33">
        <f t="shared" si="1"/>
        <v>1.5842300000000002</v>
      </c>
      <c r="G38" s="29">
        <v>6.2230136999999998E-2</v>
      </c>
      <c r="H38" s="29">
        <v>1.1306752E-2</v>
      </c>
      <c r="I38" s="31">
        <v>-2.4010545000000001E-2</v>
      </c>
    </row>
    <row r="39" spans="1:9" s="32" customFormat="1" ht="15" customHeight="1">
      <c r="A39" s="27">
        <v>1.6764800000000002</v>
      </c>
      <c r="B39" s="33">
        <f t="shared" si="0"/>
        <v>1.6764800000000002</v>
      </c>
      <c r="C39" s="34">
        <v>4.4263074000000001E-3</v>
      </c>
      <c r="D39" s="29">
        <v>1.5097493E-2</v>
      </c>
      <c r="E39" s="30">
        <v>3.9444539000000001E-2</v>
      </c>
      <c r="F39" s="28">
        <f t="shared" si="1"/>
        <v>1.6764800000000002</v>
      </c>
      <c r="G39" s="29">
        <v>7.7009948999999994E-2</v>
      </c>
      <c r="H39" s="29">
        <v>1.0434453999999999E-2</v>
      </c>
      <c r="I39" s="31">
        <v>-4.1998988000000001E-2</v>
      </c>
    </row>
    <row r="40" spans="1:9" s="32" customFormat="1" ht="15" customHeight="1">
      <c r="A40" s="27">
        <v>1.7687300000000001</v>
      </c>
      <c r="B40" s="33">
        <f t="shared" si="0"/>
        <v>1.7687300000000001</v>
      </c>
      <c r="C40" s="34">
        <v>5.3239215999999999E-3</v>
      </c>
      <c r="D40" s="29">
        <v>1.0754809000000001E-2</v>
      </c>
      <c r="E40" s="30">
        <v>2.8714532000000001E-2</v>
      </c>
      <c r="F40" s="33">
        <f t="shared" si="1"/>
        <v>1.7687300000000001</v>
      </c>
      <c r="G40" s="29">
        <v>7.1757590999999996E-2</v>
      </c>
      <c r="H40" s="29">
        <v>1.2571072000000001E-2</v>
      </c>
      <c r="I40" s="31">
        <v>-3.7312046000000001E-2</v>
      </c>
    </row>
    <row r="41" spans="1:9" s="32" customFormat="1" ht="15" customHeight="1">
      <c r="A41" s="27">
        <v>1.95323</v>
      </c>
      <c r="B41" s="33">
        <f t="shared" si="0"/>
        <v>1.95323</v>
      </c>
      <c r="C41" s="34">
        <v>8.3737907999999993E-3</v>
      </c>
      <c r="D41" s="29">
        <v>1.7359125E-2</v>
      </c>
      <c r="E41" s="30">
        <v>5.8315288E-2</v>
      </c>
      <c r="F41" s="28">
        <f t="shared" si="1"/>
        <v>1.95323</v>
      </c>
      <c r="G41" s="29">
        <v>6.3500651000000005E-2</v>
      </c>
      <c r="H41" s="29">
        <v>2.3182746000000001E-2</v>
      </c>
      <c r="I41" s="31">
        <v>-1.5107071999999999E-2</v>
      </c>
    </row>
    <row r="42" spans="1:9" s="32" customFormat="1" ht="15" customHeight="1">
      <c r="A42" s="27">
        <v>2.1377300000000004</v>
      </c>
      <c r="B42" s="33">
        <f t="shared" si="0"/>
        <v>2.1377300000000004</v>
      </c>
      <c r="C42" s="34">
        <v>1.8347019999999999E-2</v>
      </c>
      <c r="D42" s="29">
        <v>2.5139989000000001E-2</v>
      </c>
      <c r="E42" s="30">
        <v>8.6694357E-2</v>
      </c>
      <c r="F42" s="33">
        <f t="shared" si="1"/>
        <v>2.1377300000000004</v>
      </c>
      <c r="G42" s="29">
        <v>6.5555569999999994E-2</v>
      </c>
      <c r="H42" s="29">
        <v>0.12186646</v>
      </c>
      <c r="I42" s="31">
        <v>0.17634648</v>
      </c>
    </row>
    <row r="43" spans="1:9" s="32" customFormat="1" ht="15" customHeight="1">
      <c r="A43" s="27">
        <v>2.3222300000000002</v>
      </c>
      <c r="B43" s="33">
        <f t="shared" si="0"/>
        <v>2.3222300000000002</v>
      </c>
      <c r="C43" s="34">
        <v>3.4480812E-2</v>
      </c>
      <c r="D43" s="29">
        <v>3.1569456000000003E-2</v>
      </c>
      <c r="E43" s="30">
        <v>8.5090681000000001E-2</v>
      </c>
      <c r="F43" s="28">
        <f t="shared" si="1"/>
        <v>2.3222300000000002</v>
      </c>
      <c r="G43" s="29">
        <v>9.2076303999999998E-2</v>
      </c>
      <c r="H43" s="29">
        <v>0.22410060000000001</v>
      </c>
      <c r="I43" s="31">
        <v>0.25332712000000002</v>
      </c>
    </row>
    <row r="44" spans="1:9" s="32" customFormat="1" ht="15" customHeight="1">
      <c r="A44" s="27">
        <v>2.5067300000000001</v>
      </c>
      <c r="B44" s="33">
        <f t="shared" si="0"/>
        <v>2.5067300000000001</v>
      </c>
      <c r="C44" s="34">
        <v>2.932558E-2</v>
      </c>
      <c r="D44" s="29">
        <v>3.2560750999999999E-2</v>
      </c>
      <c r="E44" s="30">
        <v>9.7954346999999997E-2</v>
      </c>
      <c r="F44" s="33">
        <f t="shared" si="1"/>
        <v>2.5067300000000001</v>
      </c>
      <c r="G44" s="29">
        <v>8.4042424000000004E-2</v>
      </c>
      <c r="H44" s="29">
        <v>0.28937418999999998</v>
      </c>
      <c r="I44" s="31">
        <v>0.33192695999999999</v>
      </c>
    </row>
    <row r="45" spans="1:9" s="32" customFormat="1" ht="15" customHeight="1">
      <c r="A45" s="27">
        <v>2.69123</v>
      </c>
      <c r="B45" s="33">
        <f t="shared" si="0"/>
        <v>2.69123</v>
      </c>
      <c r="C45" s="34">
        <v>3.1465686999999999E-2</v>
      </c>
      <c r="D45" s="29">
        <v>3.7686989999999997E-2</v>
      </c>
      <c r="E45" s="30">
        <v>0.12162878000000001</v>
      </c>
      <c r="F45" s="28">
        <f t="shared" si="1"/>
        <v>2.69123</v>
      </c>
      <c r="G45" s="29">
        <v>7.9578457000000005E-2</v>
      </c>
      <c r="H45" s="29">
        <v>0.34415521999999998</v>
      </c>
      <c r="I45" s="31">
        <v>0.42008792</v>
      </c>
    </row>
    <row r="46" spans="1:9" s="32" customFormat="1" ht="15" customHeight="1">
      <c r="A46" s="27">
        <v>2.8757300000000003</v>
      </c>
      <c r="B46" s="33">
        <f t="shared" si="0"/>
        <v>2.8757300000000003</v>
      </c>
      <c r="C46" s="34">
        <v>2.5995951E-2</v>
      </c>
      <c r="D46" s="29">
        <v>5.5934284000000001E-2</v>
      </c>
      <c r="E46" s="30">
        <v>0.19758872</v>
      </c>
      <c r="F46" s="33">
        <f t="shared" si="1"/>
        <v>2.8757300000000003</v>
      </c>
      <c r="G46" s="29">
        <v>8.3653851000000001E-2</v>
      </c>
      <c r="H46" s="29">
        <v>0.38201273000000002</v>
      </c>
      <c r="I46" s="31">
        <v>0.47140567</v>
      </c>
    </row>
    <row r="47" spans="1:9" s="32" customFormat="1" ht="15" customHeight="1">
      <c r="A47" s="27">
        <v>3.0602300000000002</v>
      </c>
      <c r="B47" s="33">
        <f t="shared" si="0"/>
        <v>3.0602300000000002</v>
      </c>
      <c r="C47" s="34">
        <v>2.7556408000000001E-2</v>
      </c>
      <c r="D47" s="29">
        <v>4.9749333999999999E-2</v>
      </c>
      <c r="E47" s="30">
        <v>0.15209594000000001</v>
      </c>
      <c r="F47" s="28">
        <f t="shared" si="1"/>
        <v>3.0602300000000002</v>
      </c>
      <c r="G47" s="29">
        <v>7.1292620000000001E-2</v>
      </c>
      <c r="H47" s="29">
        <v>0.40478499000000001</v>
      </c>
      <c r="I47" s="31">
        <v>0.51624017</v>
      </c>
    </row>
    <row r="48" spans="1:9" s="32" customFormat="1" ht="15" customHeight="1">
      <c r="A48" s="27">
        <v>3.2447300000000001</v>
      </c>
      <c r="B48" s="33">
        <f t="shared" si="0"/>
        <v>3.2447300000000001</v>
      </c>
      <c r="C48" s="34">
        <v>2.7310866999999999E-2</v>
      </c>
      <c r="D48" s="29">
        <v>5.1547652999999999E-2</v>
      </c>
      <c r="E48" s="30">
        <v>0.17234672000000001</v>
      </c>
      <c r="F48" s="33">
        <f t="shared" si="1"/>
        <v>3.2447300000000001</v>
      </c>
      <c r="G48" s="29">
        <v>7.0453132000000002E-2</v>
      </c>
      <c r="H48" s="29">
        <v>0.41973565000000002</v>
      </c>
      <c r="I48" s="31">
        <v>0.54454053000000002</v>
      </c>
    </row>
    <row r="49" spans="1:9" s="32" customFormat="1" ht="15" customHeight="1">
      <c r="A49" s="27">
        <v>3.4292300000000004</v>
      </c>
      <c r="B49" s="33">
        <f t="shared" si="0"/>
        <v>3.4292300000000004</v>
      </c>
      <c r="C49" s="34">
        <v>3.9345045000000002E-2</v>
      </c>
      <c r="D49" s="29">
        <v>5.2842426999999997E-2</v>
      </c>
      <c r="E49" s="30">
        <v>0.17416757999999999</v>
      </c>
      <c r="F49" s="28">
        <f t="shared" si="1"/>
        <v>3.4292300000000004</v>
      </c>
      <c r="G49" s="29">
        <v>8.4306406E-2</v>
      </c>
      <c r="H49" s="29">
        <v>0.40366173999999999</v>
      </c>
      <c r="I49" s="31">
        <v>0.52005049000000003</v>
      </c>
    </row>
    <row r="50" spans="1:9" s="32" customFormat="1" ht="15" customHeight="1">
      <c r="A50" s="27">
        <v>3.6137300000000003</v>
      </c>
      <c r="B50" s="33">
        <f t="shared" si="0"/>
        <v>3.6137300000000003</v>
      </c>
      <c r="C50" s="34">
        <v>3.7841151000000003E-2</v>
      </c>
      <c r="D50" s="29">
        <v>5.2224266999999998E-2</v>
      </c>
      <c r="E50" s="30">
        <v>0.14817506999999999</v>
      </c>
      <c r="F50" s="33">
        <f t="shared" si="1"/>
        <v>3.6137300000000003</v>
      </c>
      <c r="G50" s="29">
        <v>8.7854915000000006E-2</v>
      </c>
      <c r="H50" s="29">
        <v>0.28596758999999999</v>
      </c>
      <c r="I50" s="31">
        <v>0.31604342000000002</v>
      </c>
    </row>
    <row r="51" spans="1:9" s="32" customFormat="1" ht="15" customHeight="1">
      <c r="A51" s="27">
        <v>3.7982300000000002</v>
      </c>
      <c r="B51" s="33">
        <f t="shared" si="0"/>
        <v>3.7982300000000002</v>
      </c>
      <c r="C51" s="34">
        <v>3.5509776999999999E-2</v>
      </c>
      <c r="D51" s="29">
        <v>5.3432520999999997E-2</v>
      </c>
      <c r="E51" s="30">
        <v>0.16195862999999999</v>
      </c>
      <c r="F51" s="28">
        <f t="shared" si="1"/>
        <v>3.7982300000000002</v>
      </c>
      <c r="G51" s="29">
        <v>8.0366740000000006E-2</v>
      </c>
      <c r="H51" s="29">
        <v>0.13403437000000001</v>
      </c>
      <c r="I51" s="31">
        <v>0.15837143000000001</v>
      </c>
    </row>
    <row r="52" spans="1:9" s="32" customFormat="1" ht="15" customHeight="1">
      <c r="A52" s="27">
        <v>3.9827300000000001</v>
      </c>
      <c r="B52" s="33">
        <f t="shared" si="0"/>
        <v>3.9827300000000001</v>
      </c>
      <c r="C52" s="34">
        <v>3.4363233E-2</v>
      </c>
      <c r="D52" s="29">
        <v>5.2781771999999998E-2</v>
      </c>
      <c r="E52" s="30">
        <v>0.18032023</v>
      </c>
      <c r="F52" s="33">
        <f t="shared" si="1"/>
        <v>3.9827300000000001</v>
      </c>
      <c r="G52" s="29">
        <v>6.9627579999999994E-2</v>
      </c>
      <c r="H52" s="29">
        <v>4.0102642000000001E-2</v>
      </c>
      <c r="I52" s="31">
        <v>3.7701683999999999E-2</v>
      </c>
    </row>
    <row r="53" spans="1:9" s="32" customFormat="1" ht="15" customHeight="1">
      <c r="A53" s="27">
        <v>4.16723</v>
      </c>
      <c r="B53" s="33">
        <f t="shared" si="0"/>
        <v>4.16723</v>
      </c>
      <c r="C53" s="34">
        <v>3.2484106999999998E-2</v>
      </c>
      <c r="D53" s="29">
        <v>7.3706563000000003E-2</v>
      </c>
      <c r="E53" s="30">
        <v>0.19030138999999999</v>
      </c>
      <c r="F53" s="28">
        <f t="shared" si="1"/>
        <v>4.16723</v>
      </c>
      <c r="G53" s="29">
        <v>6.6203131999999998E-2</v>
      </c>
      <c r="H53" s="29">
        <v>3.5911356999999998E-2</v>
      </c>
      <c r="I53" s="31">
        <v>3.7256530000000003E-2</v>
      </c>
    </row>
    <row r="54" spans="1:9" s="32" customFormat="1" ht="15" customHeight="1">
      <c r="A54" s="27">
        <v>4.3517300000000008</v>
      </c>
      <c r="B54" s="33">
        <f t="shared" si="0"/>
        <v>4.3517300000000008</v>
      </c>
      <c r="C54" s="34">
        <v>3.2621214000000003E-2</v>
      </c>
      <c r="D54" s="29">
        <v>6.1760656999999997E-2</v>
      </c>
      <c r="E54" s="30">
        <v>0.14946973</v>
      </c>
      <c r="F54" s="33">
        <f t="shared" si="1"/>
        <v>4.3517300000000008</v>
      </c>
      <c r="G54" s="29">
        <v>6.3462166E-2</v>
      </c>
      <c r="H54" s="29">
        <v>4.2848627E-2</v>
      </c>
      <c r="I54" s="31">
        <v>4.7123682E-2</v>
      </c>
    </row>
    <row r="55" spans="1:9" s="32" customFormat="1" ht="15" customHeight="1">
      <c r="A55" s="27">
        <v>4.5362300000000007</v>
      </c>
      <c r="B55" s="33">
        <f t="shared" si="0"/>
        <v>4.5362300000000007</v>
      </c>
      <c r="C55" s="34">
        <v>3.2525708E-2</v>
      </c>
      <c r="D55" s="29">
        <v>7.2051279999999995E-2</v>
      </c>
      <c r="E55" s="30">
        <v>0.19835696999999999</v>
      </c>
      <c r="F55" s="28">
        <f t="shared" si="1"/>
        <v>4.5362300000000007</v>
      </c>
      <c r="G55" s="29">
        <v>6.1339250999999997E-2</v>
      </c>
      <c r="H55" s="29">
        <v>3.2030762999999997E-2</v>
      </c>
      <c r="I55" s="31">
        <v>2.9037555E-2</v>
      </c>
    </row>
    <row r="56" spans="1:9" s="32" customFormat="1" ht="15" customHeight="1">
      <c r="A56" s="27">
        <v>4.7207300000000005</v>
      </c>
      <c r="B56" s="33">
        <f t="shared" si="0"/>
        <v>4.7207300000000005</v>
      </c>
      <c r="C56" s="34">
        <v>3.5182070000000003E-2</v>
      </c>
      <c r="D56" s="29">
        <v>6.3863346000000001E-2</v>
      </c>
      <c r="E56" s="30">
        <v>0.18662782</v>
      </c>
      <c r="F56" s="33">
        <f t="shared" si="1"/>
        <v>4.7207300000000005</v>
      </c>
      <c r="G56" s="29">
        <v>6.0546597000000001E-2</v>
      </c>
      <c r="H56" s="29">
        <v>4.4141107999999998E-2</v>
      </c>
      <c r="I56" s="31">
        <v>4.2020025000000003E-2</v>
      </c>
    </row>
    <row r="57" spans="1:9" s="32" customFormat="1" ht="15" customHeight="1">
      <c r="A57" s="27">
        <v>4.9052300000000004</v>
      </c>
      <c r="B57" s="33">
        <f t="shared" si="0"/>
        <v>4.9052300000000004</v>
      </c>
      <c r="C57" s="34">
        <v>3.5370285000000001E-2</v>
      </c>
      <c r="D57" s="29">
        <v>0.11228941000000001</v>
      </c>
      <c r="E57" s="30">
        <v>0.31702914999999998</v>
      </c>
      <c r="F57" s="28">
        <f t="shared" si="1"/>
        <v>4.9052300000000004</v>
      </c>
      <c r="G57" s="29">
        <v>5.8657430000000003E-2</v>
      </c>
      <c r="H57" s="29">
        <v>5.5574317999999998E-2</v>
      </c>
      <c r="I57" s="31">
        <v>9.9943900000000002E-2</v>
      </c>
    </row>
    <row r="58" spans="1:9" s="32" customFormat="1" ht="15" customHeight="1">
      <c r="A58" s="27">
        <v>5.0897300000000003</v>
      </c>
      <c r="B58" s="33">
        <f t="shared" si="0"/>
        <v>5.0897300000000003</v>
      </c>
      <c r="C58" s="34">
        <v>3.6568871000000003E-2</v>
      </c>
      <c r="D58" s="29">
        <v>9.6371915000000002E-2</v>
      </c>
      <c r="E58" s="30">
        <v>0.28471786999999998</v>
      </c>
      <c r="F58" s="33">
        <f t="shared" si="1"/>
        <v>5.0897300000000003</v>
      </c>
      <c r="G58" s="29">
        <v>5.5598839999999997E-2</v>
      </c>
      <c r="H58" s="29">
        <v>5.4559859000000002E-2</v>
      </c>
      <c r="I58" s="31">
        <v>0.14946149</v>
      </c>
    </row>
    <row r="59" spans="1:9" s="32" customFormat="1" ht="15" customHeight="1">
      <c r="A59" s="27">
        <v>5.2742300000000002</v>
      </c>
      <c r="B59" s="33">
        <f t="shared" si="0"/>
        <v>5.2742300000000002</v>
      </c>
      <c r="C59" s="34">
        <v>4.0830828999999999E-3</v>
      </c>
      <c r="D59" s="29">
        <v>0.10442685</v>
      </c>
      <c r="E59" s="30">
        <v>0.27928410999999997</v>
      </c>
      <c r="F59" s="28">
        <f t="shared" si="1"/>
        <v>5.2742300000000002</v>
      </c>
      <c r="G59" s="29">
        <v>0.26648810000000001</v>
      </c>
      <c r="H59" s="29">
        <v>1.0930422</v>
      </c>
      <c r="I59" s="31">
        <v>2.0489709</v>
      </c>
    </row>
    <row r="60" spans="1:9" s="32" customFormat="1" ht="15" customHeight="1">
      <c r="A60" s="27"/>
      <c r="B60" s="33"/>
      <c r="C60" s="34"/>
      <c r="D60" s="29"/>
      <c r="E60" s="30"/>
      <c r="F60" s="33"/>
      <c r="G60" s="29"/>
      <c r="H60" s="29"/>
      <c r="I60" s="31"/>
    </row>
    <row r="61" spans="1:9" s="32" customFormat="1" ht="15" customHeight="1">
      <c r="A61" s="27"/>
      <c r="B61" s="33"/>
      <c r="C61" s="34"/>
      <c r="D61" s="29"/>
      <c r="E61" s="30"/>
      <c r="F61" s="28"/>
      <c r="G61" s="29"/>
      <c r="H61" s="29"/>
      <c r="I61" s="31"/>
    </row>
    <row r="62" spans="1:9" s="32" customFormat="1" ht="15" customHeight="1">
      <c r="A62" s="27"/>
      <c r="B62" s="33"/>
      <c r="C62" s="34"/>
      <c r="D62" s="29"/>
      <c r="E62" s="30"/>
      <c r="F62" s="33"/>
      <c r="G62" s="29"/>
      <c r="H62" s="29"/>
      <c r="I62" s="31"/>
    </row>
    <row r="63" spans="1:9" s="32" customFormat="1" ht="15" customHeight="1">
      <c r="A63" s="27"/>
      <c r="B63" s="33"/>
      <c r="C63" s="34"/>
      <c r="D63" s="29"/>
      <c r="E63" s="30"/>
      <c r="F63" s="33"/>
      <c r="G63" s="29"/>
      <c r="H63" s="29"/>
      <c r="I63" s="31"/>
    </row>
    <row r="64" spans="1:9" s="32" customFormat="1" ht="15" customHeight="1">
      <c r="A64" s="27"/>
      <c r="B64" s="33"/>
      <c r="C64" s="34"/>
      <c r="D64" s="29"/>
      <c r="E64" s="30"/>
      <c r="F64" s="33"/>
      <c r="G64" s="29"/>
      <c r="H64" s="29"/>
      <c r="I64" s="31"/>
    </row>
    <row r="65" spans="1:12" s="32" customFormat="1" ht="15" customHeight="1">
      <c r="A65" s="27"/>
      <c r="B65" s="33"/>
      <c r="C65" s="34"/>
      <c r="D65" s="29"/>
      <c r="E65" s="30"/>
      <c r="F65" s="33"/>
      <c r="G65" s="29"/>
      <c r="H65" s="29"/>
      <c r="I65" s="31"/>
    </row>
    <row r="66" spans="1:12" s="32" customFormat="1" ht="15" customHeight="1">
      <c r="A66" s="27"/>
      <c r="B66" s="33"/>
      <c r="C66" s="34"/>
      <c r="D66" s="29"/>
      <c r="E66" s="30"/>
      <c r="F66" s="33"/>
      <c r="G66" s="29"/>
      <c r="H66" s="29"/>
      <c r="I66" s="31"/>
    </row>
    <row r="67" spans="1:12" s="32" customFormat="1" ht="15" customHeight="1">
      <c r="A67" s="27"/>
      <c r="B67" s="33"/>
      <c r="C67" s="34"/>
      <c r="D67" s="29"/>
      <c r="E67" s="30"/>
      <c r="F67" s="33"/>
      <c r="G67" s="29"/>
      <c r="H67" s="29"/>
      <c r="I67" s="31"/>
    </row>
    <row r="68" spans="1:12" s="32" customFormat="1" ht="15" customHeight="1">
      <c r="A68" s="27"/>
      <c r="B68" s="33"/>
      <c r="C68" s="34"/>
      <c r="D68" s="29"/>
      <c r="E68" s="30"/>
      <c r="F68" s="33"/>
      <c r="G68" s="29"/>
      <c r="H68" s="29"/>
      <c r="I68" s="31"/>
    </row>
    <row r="69" spans="1:12" s="32" customFormat="1" ht="15" customHeight="1">
      <c r="A69" s="27"/>
      <c r="B69" s="33"/>
      <c r="C69" s="34"/>
      <c r="D69" s="29"/>
      <c r="E69" s="30"/>
      <c r="F69" s="33"/>
      <c r="G69" s="29"/>
      <c r="H69" s="29"/>
      <c r="I69" s="31"/>
    </row>
    <row r="70" spans="1:12" s="32" customFormat="1" ht="15" customHeight="1">
      <c r="A70" s="27"/>
      <c r="B70" s="33"/>
      <c r="C70" s="34"/>
      <c r="D70" s="29"/>
      <c r="E70" s="30"/>
      <c r="F70" s="33"/>
      <c r="G70" s="29"/>
      <c r="H70" s="29"/>
      <c r="I70" s="31"/>
    </row>
    <row r="71" spans="1:12" s="32" customFormat="1" ht="15" customHeight="1">
      <c r="A71" s="35"/>
      <c r="B71" s="33"/>
      <c r="C71" s="34"/>
      <c r="D71" s="29"/>
      <c r="E71" s="30"/>
      <c r="F71" s="33"/>
      <c r="G71" s="29"/>
      <c r="H71" s="29"/>
      <c r="I71" s="31"/>
    </row>
    <row r="72" spans="1:12" s="32" customFormat="1" ht="15" customHeight="1">
      <c r="A72" s="35"/>
      <c r="B72" s="33"/>
      <c r="C72" s="34"/>
      <c r="D72" s="29"/>
      <c r="E72" s="30"/>
      <c r="F72" s="33"/>
      <c r="G72" s="29"/>
      <c r="H72" s="29"/>
      <c r="I72" s="31"/>
    </row>
    <row r="73" spans="1:12" s="32" customFormat="1" ht="15" customHeight="1">
      <c r="A73" s="35"/>
      <c r="B73" s="33"/>
      <c r="C73" s="34"/>
      <c r="D73" s="29"/>
      <c r="E73" s="30"/>
      <c r="F73" s="33"/>
      <c r="G73" s="29"/>
      <c r="H73" s="29"/>
      <c r="I73" s="31"/>
    </row>
    <row r="74" spans="1:12" s="32" customFormat="1" ht="15" customHeight="1">
      <c r="A74" s="35"/>
      <c r="B74" s="33"/>
      <c r="C74" s="34"/>
      <c r="D74" s="29"/>
      <c r="E74" s="30"/>
      <c r="F74" s="33"/>
      <c r="G74" s="29"/>
      <c r="H74" s="29"/>
      <c r="I74" s="31"/>
    </row>
    <row r="75" spans="1:12" s="32" customFormat="1" ht="15" customHeight="1">
      <c r="A75" s="35"/>
      <c r="B75" s="33"/>
      <c r="C75" s="34"/>
      <c r="D75" s="29"/>
      <c r="E75" s="30"/>
      <c r="F75" s="33"/>
      <c r="G75" s="29"/>
      <c r="H75" s="29"/>
      <c r="I75" s="31"/>
    </row>
    <row r="76" spans="1:12" s="32" customFormat="1" ht="15" customHeight="1">
      <c r="A76" s="35"/>
      <c r="B76" s="33"/>
      <c r="C76" s="34"/>
      <c r="D76" s="29"/>
      <c r="E76" s="30"/>
      <c r="F76" s="33"/>
      <c r="G76" s="29"/>
      <c r="H76" s="29"/>
      <c r="I76" s="31"/>
    </row>
    <row r="77" spans="1:12" ht="15" customHeight="1">
      <c r="A77" s="36"/>
      <c r="B77" s="33"/>
      <c r="C77" s="34"/>
      <c r="D77" s="29"/>
      <c r="E77" s="30"/>
      <c r="F77" s="33"/>
      <c r="G77" s="29"/>
      <c r="H77" s="29"/>
      <c r="I77" s="31"/>
      <c r="J77" s="32"/>
      <c r="K77" s="32"/>
      <c r="L77" s="32"/>
    </row>
    <row r="78" spans="1:12" ht="15" customHeight="1">
      <c r="A78" s="36"/>
      <c r="B78" s="33"/>
      <c r="C78" s="34"/>
      <c r="D78" s="29"/>
      <c r="E78" s="30"/>
      <c r="F78" s="33"/>
      <c r="G78" s="29"/>
      <c r="H78" s="29"/>
      <c r="I78" s="31"/>
      <c r="J78" s="32"/>
      <c r="K78" s="32"/>
      <c r="L78" s="32"/>
    </row>
    <row r="79" spans="1:12" ht="15" customHeight="1">
      <c r="A79" s="36"/>
      <c r="B79" s="33"/>
      <c r="C79" s="34"/>
      <c r="D79" s="29"/>
      <c r="E79" s="30"/>
      <c r="F79" s="33"/>
      <c r="G79" s="29"/>
      <c r="H79" s="29"/>
      <c r="I79" s="31"/>
    </row>
    <row r="80" spans="1:12" ht="15" customHeight="1">
      <c r="A80" s="36"/>
      <c r="B80" s="37"/>
      <c r="C80" s="38"/>
      <c r="D80" s="38"/>
      <c r="E80" s="39"/>
      <c r="F80" s="37"/>
      <c r="G80" s="38"/>
      <c r="H80" s="38"/>
      <c r="I80" s="40"/>
    </row>
    <row r="81" spans="1:9" ht="15" customHeight="1">
      <c r="A81" s="36"/>
      <c r="B81" s="37"/>
      <c r="C81" s="38"/>
      <c r="D81" s="38"/>
      <c r="E81" s="39"/>
      <c r="F81" s="37"/>
      <c r="G81" s="38"/>
      <c r="H81" s="38"/>
      <c r="I81" s="40"/>
    </row>
    <row r="82" spans="1:9" ht="15" customHeight="1">
      <c r="A82" s="36"/>
      <c r="B82" s="37"/>
      <c r="C82" s="38"/>
      <c r="D82" s="38"/>
      <c r="E82" s="39"/>
      <c r="F82" s="37"/>
      <c r="G82" s="38"/>
      <c r="H82" s="38"/>
      <c r="I82" s="40"/>
    </row>
    <row r="83" spans="1:9" ht="15" customHeight="1">
      <c r="A83" s="36"/>
      <c r="B83" s="37"/>
      <c r="C83" s="38"/>
      <c r="D83" s="38"/>
      <c r="E83" s="39"/>
      <c r="F83" s="37"/>
      <c r="G83" s="38"/>
      <c r="H83" s="38"/>
      <c r="I83" s="40"/>
    </row>
    <row r="84" spans="1:9" ht="15" customHeight="1" thickBot="1">
      <c r="A84" s="41"/>
      <c r="B84" s="42"/>
      <c r="C84" s="43"/>
      <c r="D84" s="43"/>
      <c r="E84" s="44"/>
      <c r="F84" s="42"/>
      <c r="G84" s="43"/>
      <c r="H84" s="43"/>
      <c r="I84" s="45"/>
    </row>
  </sheetData>
  <mergeCells count="4">
    <mergeCell ref="A19:A21"/>
    <mergeCell ref="B19:I19"/>
    <mergeCell ref="B20:E20"/>
    <mergeCell ref="F20:I20"/>
  </mergeCells>
  <phoneticPr fontId="3" type="noConversion"/>
  <pageMargins left="0.75" right="0.75" top="1" bottom="1" header="0.51200000000000001" footer="0.51200000000000001"/>
  <pageSetup paperSize="9" scale="59" orientation="portrait" verticalDpi="4294967293" r:id="rId1"/>
  <headerFooter alignWithMargins="0"/>
  <rowBreaks count="1" manualBreakCount="1">
    <brk id="17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8838-6B5E-4EA0-A389-8FBA0E460CF1}">
  <dimension ref="A1"/>
  <sheetViews>
    <sheetView tabSelected="1" topLeftCell="A4" workbookViewId="0">
      <selection activeCell="L31" sqref="L31"/>
    </sheetView>
  </sheetViews>
  <sheetFormatPr defaultRowHeight="13.5"/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등류</vt:lpstr>
      <vt:lpstr>0°_laser</vt:lpstr>
      <vt:lpstr>0°_영상계측</vt:lpstr>
      <vt:lpstr>0°_영상계측_sub</vt:lpstr>
      <vt:lpstr>결과비교</vt:lpstr>
    </vt:vector>
  </TitlesOfParts>
  <Company>내풍구조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김재민</dc:creator>
  <cp:lastModifiedBy>jaemin kim</cp:lastModifiedBy>
  <dcterms:created xsi:type="dcterms:W3CDTF">2011-01-21T10:07:58Z</dcterms:created>
  <dcterms:modified xsi:type="dcterms:W3CDTF">2024-11-27T06:24:40Z</dcterms:modified>
</cp:coreProperties>
</file>