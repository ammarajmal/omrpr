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업무\교량\2024년\영상계측\RAW_Data\laser_displacement\2D_WTT\"/>
    </mc:Choice>
  </mc:AlternateContent>
  <xr:revisionPtr revIDLastSave="0" documentId="13_ncr:1_{AB82120C-CA33-45E7-A034-E059A07F0C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등류" sheetId="1" r:id="rId1"/>
  </sheets>
  <calcPr calcId="191029"/>
</workbook>
</file>

<file path=xl/calcChain.xml><?xml version="1.0" encoding="utf-8"?>
<calcChain xmlns="http://schemas.openxmlformats.org/spreadsheetml/2006/main">
  <c r="H34" i="1" l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D34" i="1" l="1"/>
  <c r="D35" i="1"/>
  <c r="D36" i="1"/>
  <c r="D37" i="1"/>
  <c r="D38" i="1"/>
  <c r="D39" i="1"/>
  <c r="D40" i="1"/>
  <c r="D41" i="1"/>
  <c r="D4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G3" i="1" l="1"/>
  <c r="G4" i="1" s="1"/>
  <c r="I33" i="1" l="1"/>
  <c r="H33" i="1"/>
  <c r="I11" i="1"/>
  <c r="I15" i="1"/>
  <c r="I19" i="1"/>
  <c r="I23" i="1"/>
  <c r="I27" i="1"/>
  <c r="I31" i="1"/>
  <c r="H12" i="1"/>
  <c r="H16" i="1"/>
  <c r="H20" i="1"/>
  <c r="H24" i="1"/>
  <c r="H28" i="1"/>
  <c r="H32" i="1"/>
  <c r="I12" i="1"/>
  <c r="I16" i="1"/>
  <c r="I20" i="1"/>
  <c r="I24" i="1"/>
  <c r="I28" i="1"/>
  <c r="I32" i="1"/>
  <c r="H13" i="1"/>
  <c r="H17" i="1"/>
  <c r="H21" i="1"/>
  <c r="H25" i="1"/>
  <c r="H29" i="1"/>
  <c r="I13" i="1"/>
  <c r="I17" i="1"/>
  <c r="I21" i="1"/>
  <c r="I25" i="1"/>
  <c r="I29" i="1"/>
  <c r="H10" i="1"/>
  <c r="H14" i="1"/>
  <c r="H18" i="1"/>
  <c r="H22" i="1"/>
  <c r="H26" i="1"/>
  <c r="H30" i="1"/>
  <c r="I10" i="1"/>
  <c r="I14" i="1"/>
  <c r="I18" i="1"/>
  <c r="I22" i="1"/>
  <c r="I26" i="1"/>
  <c r="I30" i="1"/>
  <c r="H11" i="1"/>
  <c r="H15" i="1"/>
  <c r="H19" i="1"/>
  <c r="H23" i="1"/>
  <c r="H27" i="1"/>
  <c r="H31" i="1"/>
  <c r="H9" i="1"/>
  <c r="I9" i="1"/>
  <c r="H7" i="1"/>
  <c r="H5" i="1"/>
  <c r="H6" i="1"/>
  <c r="H8" i="1"/>
  <c r="H4" i="1"/>
  <c r="I3" i="1"/>
  <c r="I4" i="1"/>
  <c r="I6" i="1"/>
  <c r="I7" i="1"/>
  <c r="I8" i="1"/>
  <c r="I5" i="1"/>
  <c r="G5" i="1"/>
  <c r="H3" i="1"/>
</calcChain>
</file>

<file path=xl/sharedStrings.xml><?xml version="1.0" encoding="utf-8"?>
<sst xmlns="http://schemas.openxmlformats.org/spreadsheetml/2006/main" count="59" uniqueCount="59">
  <si>
    <t>실험rpm</t>
    <phoneticPr fontId="3" type="noConversion"/>
  </si>
  <si>
    <t>측정풍속(풍동)</t>
    <phoneticPr fontId="3" type="noConversion"/>
  </si>
  <si>
    <t>계산풍속(풍동)</t>
    <phoneticPr fontId="3" type="noConversion"/>
  </si>
  <si>
    <t>비고</t>
    <phoneticPr fontId="3" type="noConversion"/>
  </si>
  <si>
    <t>file</t>
    <phoneticPr fontId="3" type="noConversion"/>
  </si>
  <si>
    <t>D01</t>
    <phoneticPr fontId="3" type="noConversion"/>
  </si>
  <si>
    <t>D02</t>
    <phoneticPr fontId="3" type="noConversion"/>
  </si>
  <si>
    <t>D03</t>
  </si>
  <si>
    <t>D04</t>
  </si>
  <si>
    <t>D05</t>
  </si>
  <si>
    <t>기압(hPa)</t>
    <phoneticPr fontId="3" type="noConversion"/>
  </si>
  <si>
    <t>D06</t>
  </si>
  <si>
    <r>
      <t>기온(</t>
    </r>
    <r>
      <rPr>
        <sz val="10"/>
        <rFont val="새굴림"/>
        <family val="1"/>
        <charset val="129"/>
      </rPr>
      <t>˚C)</t>
    </r>
    <phoneticPr fontId="3" type="noConversion"/>
  </si>
  <si>
    <t>환산풍속</t>
    <phoneticPr fontId="3" type="noConversion"/>
  </si>
  <si>
    <t>기압2(mmHg)</t>
    <phoneticPr fontId="3" type="noConversion"/>
  </si>
  <si>
    <t>Scale</t>
    <phoneticPr fontId="3" type="noConversion"/>
  </si>
  <si>
    <t>연직 요구치(Hz)</t>
    <phoneticPr fontId="3" type="noConversion"/>
  </si>
  <si>
    <t>연직 실험치(Hz)</t>
    <phoneticPr fontId="3" type="noConversion"/>
  </si>
  <si>
    <t>비틀림 요구치(Hz)</t>
    <phoneticPr fontId="3" type="noConversion"/>
  </si>
  <si>
    <r>
      <t>공기밀도(kg</t>
    </r>
    <r>
      <rPr>
        <sz val="10"/>
        <rFont val="새굴림"/>
        <family val="1"/>
        <charset val="129"/>
      </rPr>
      <t>/m</t>
    </r>
    <r>
      <rPr>
        <vertAlign val="superscript"/>
        <sz val="10"/>
        <rFont val="새굴림"/>
        <family val="1"/>
        <charset val="129"/>
      </rPr>
      <t>3</t>
    </r>
    <r>
      <rPr>
        <sz val="10"/>
        <rFont val="새굴림"/>
        <family val="1"/>
        <charset val="129"/>
      </rPr>
      <t>)</t>
    </r>
    <r>
      <rPr>
        <sz val="11"/>
        <color theme="1"/>
        <rFont val="맑은 고딕"/>
        <family val="2"/>
        <charset val="129"/>
        <scheme val="minor"/>
      </rPr>
      <t/>
    </r>
    <phoneticPr fontId="3" type="noConversion"/>
  </si>
  <si>
    <r>
      <t>공기밀도(kg</t>
    </r>
    <r>
      <rPr>
        <sz val="10"/>
        <rFont val="MS PMincho"/>
        <family val="1"/>
        <charset val="128"/>
      </rPr>
      <t>・</t>
    </r>
    <r>
      <rPr>
        <sz val="10"/>
        <rFont val="새굴림"/>
        <family val="1"/>
        <charset val="129"/>
      </rPr>
      <t>s</t>
    </r>
    <r>
      <rPr>
        <vertAlign val="superscript"/>
        <sz val="10"/>
        <rFont val="새굴림"/>
        <family val="1"/>
        <charset val="129"/>
      </rPr>
      <t>2</t>
    </r>
    <r>
      <rPr>
        <sz val="10"/>
        <rFont val="새굴림"/>
        <family val="1"/>
        <charset val="129"/>
      </rPr>
      <t>/m</t>
    </r>
    <r>
      <rPr>
        <vertAlign val="superscript"/>
        <sz val="10"/>
        <rFont val="새굴림"/>
        <family val="1"/>
        <charset val="129"/>
      </rPr>
      <t>4</t>
    </r>
    <r>
      <rPr>
        <sz val="10"/>
        <rFont val="새굴림"/>
        <family val="1"/>
        <charset val="129"/>
      </rPr>
      <t>)</t>
    </r>
    <phoneticPr fontId="3" type="noConversion"/>
  </si>
  <si>
    <t>비틀림 실험치(Hz)</t>
    <phoneticPr fontId="3" type="noConversion"/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</si>
  <si>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</si>
  <si>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</si>
  <si>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</si>
  <si>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</si>
  <si>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</si>
  <si>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</si>
  <si>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</si>
  <si>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</si>
  <si>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</si>
  <si>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</si>
  <si>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</si>
  <si>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</si>
  <si>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</si>
  <si>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</si>
  <si>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</si>
  <si>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</si>
  <si>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</si>
  <si>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</si>
  <si>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</si>
  <si>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</si>
  <si>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</si>
  <si>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</si>
  <si>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</si>
  <si>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</si>
  <si>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</si>
  <si>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연직</t>
    <phoneticPr fontId="3" type="noConversion"/>
  </si>
  <si>
    <t>비틀림</t>
    <phoneticPr fontId="3" type="noConversion"/>
  </si>
  <si>
    <t>hoason</t>
    <phoneticPr fontId="3" type="noConversion"/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</si>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</sst>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_ "/>
    <numFmt numFmtId="177" formatCode="0.0000_ "/>
    <numFmt numFmtId="178" formatCode="0.00_ "/>
    <numFmt numFmtId="179" formatCode="#,##0_ "/>
  </numFmts>
  <fonts count="9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ＭＳ Ｐゴシック"/>
      <family val="2"/>
      <charset val="128"/>
    </font>
    <font>
      <sz val="10"/>
      <color indexed="8"/>
      <name val="새굴림"/>
      <family val="1"/>
      <charset val="129"/>
    </font>
    <font>
      <sz val="10"/>
      <name val="새굴림"/>
      <family val="1"/>
      <charset val="129"/>
    </font>
    <font>
      <sz val="10"/>
      <name val="MS PMincho"/>
      <family val="1"/>
      <charset val="128"/>
    </font>
    <font>
      <vertAlign val="superscript"/>
      <sz val="10"/>
      <name val="새굴림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4" fillId="0" borderId="0"/>
    <xf numFmtId="0" fontId="2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1" fontId="0" fillId="0" borderId="0" xfId="0" applyNumberFormat="1">
      <alignment vertical="center"/>
    </xf>
    <xf numFmtId="177" fontId="0" fillId="0" borderId="0" xfId="0" applyNumberFormat="1" applyAlignment="1">
      <alignment horizontal="center"/>
    </xf>
    <xf numFmtId="178" fontId="5" fillId="2" borderId="1" xfId="1" applyNumberFormat="1" applyFont="1" applyFill="1" applyBorder="1" applyAlignment="1">
      <alignment horizontal="center" vertical="center"/>
    </xf>
    <xf numFmtId="178" fontId="5" fillId="0" borderId="1" xfId="1" applyNumberFormat="1" applyFont="1" applyBorder="1" applyAlignment="1">
      <alignment horizontal="center" vertical="center"/>
    </xf>
    <xf numFmtId="176" fontId="6" fillId="0" borderId="0" xfId="2" applyNumberFormat="1" applyFont="1" applyAlignment="1">
      <alignment horizontal="center" vertical="center"/>
    </xf>
    <xf numFmtId="176" fontId="5" fillId="2" borderId="1" xfId="1" applyNumberFormat="1" applyFont="1" applyFill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6" fillId="0" borderId="0" xfId="0" applyFont="1">
      <alignment vertical="center"/>
    </xf>
    <xf numFmtId="177" fontId="6" fillId="0" borderId="0" xfId="0" applyNumberFormat="1" applyFont="1" applyAlignment="1">
      <alignment horizontal="center"/>
    </xf>
    <xf numFmtId="179" fontId="0" fillId="0" borderId="0" xfId="0" applyNumberFormat="1" applyAlignment="1">
      <alignment horizontal="center" vertical="center"/>
    </xf>
    <xf numFmtId="178" fontId="5" fillId="3" borderId="1" xfId="1" applyNumberFormat="1" applyFont="1" applyFill="1" applyBorder="1" applyAlignment="1">
      <alignment horizontal="center" vertical="center"/>
    </xf>
    <xf numFmtId="179" fontId="0" fillId="0" borderId="0" xfId="0" applyNumberFormat="1">
      <alignment vertical="center"/>
    </xf>
    <xf numFmtId="177" fontId="5" fillId="3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8" fontId="5" fillId="0" borderId="1" xfId="1" applyNumberFormat="1" applyFont="1" applyBorder="1" applyAlignment="1">
      <alignment horizontal="center" vertical="center"/>
    </xf>
  </cellXfs>
  <cellStyles count="4">
    <cellStyle name="표준" xfId="0" builtinId="0"/>
    <cellStyle name="표준 2" xfId="3" xr:uid="{00000000-0005-0000-0000-000001000000}"/>
    <cellStyle name="標準_0deg架設系" xfId="1" xr:uid="{00000000-0005-0000-0000-000002000000}"/>
    <cellStyle name="標準_0deg架設系_고군산2공구 단면1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206185567010321"/>
          <c:y val="9.1872950034766393E-2"/>
          <c:w val="0.73608247422680462"/>
          <c:h val="0.7455843252821424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-0.16546912749226575"/>
                  <c:y val="-1.881590304567634E-2"/>
                </c:manualLayout>
              </c:layout>
              <c:numFmt formatCode="#,##0.00000_);\(#,##0.00000\)" sourceLinked="0"/>
            </c:trendlineLbl>
          </c:trendline>
          <c:xVal>
            <c:numRef>
              <c:f>등류!$B$3:$B$100</c:f>
              <c:numCache>
                <c:formatCode>General</c:formatCode>
                <c:ptCount val="9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  <c:pt idx="8">
                  <c:v>65</c:v>
                </c:pt>
                <c:pt idx="9">
                  <c:v>70</c:v>
                </c:pt>
                <c:pt idx="10">
                  <c:v>75</c:v>
                </c:pt>
                <c:pt idx="11">
                  <c:v>80</c:v>
                </c:pt>
                <c:pt idx="12">
                  <c:v>85</c:v>
                </c:pt>
                <c:pt idx="13">
                  <c:v>90</c:v>
                </c:pt>
                <c:pt idx="14">
                  <c:v>95</c:v>
                </c:pt>
                <c:pt idx="15">
                  <c:v>100</c:v>
                </c:pt>
                <c:pt idx="16">
                  <c:v>105</c:v>
                </c:pt>
                <c:pt idx="17">
                  <c:v>110</c:v>
                </c:pt>
                <c:pt idx="18">
                  <c:v>120</c:v>
                </c:pt>
                <c:pt idx="19">
                  <c:v>130</c:v>
                </c:pt>
                <c:pt idx="20">
                  <c:v>140</c:v>
                </c:pt>
                <c:pt idx="21">
                  <c:v>150</c:v>
                </c:pt>
                <c:pt idx="22">
                  <c:v>160</c:v>
                </c:pt>
                <c:pt idx="23">
                  <c:v>170</c:v>
                </c:pt>
                <c:pt idx="24">
                  <c:v>180</c:v>
                </c:pt>
                <c:pt idx="25">
                  <c:v>190</c:v>
                </c:pt>
                <c:pt idx="26">
                  <c:v>200</c:v>
                </c:pt>
                <c:pt idx="27">
                  <c:v>210</c:v>
                </c:pt>
                <c:pt idx="28">
                  <c:v>220</c:v>
                </c:pt>
                <c:pt idx="29">
                  <c:v>230</c:v>
                </c:pt>
                <c:pt idx="30">
                  <c:v>240</c:v>
                </c:pt>
                <c:pt idx="31">
                  <c:v>250</c:v>
                </c:pt>
                <c:pt idx="32">
                  <c:v>260</c:v>
                </c:pt>
                <c:pt idx="33">
                  <c:v>270</c:v>
                </c:pt>
                <c:pt idx="34">
                  <c:v>280</c:v>
                </c:pt>
                <c:pt idx="35">
                  <c:v>290</c:v>
                </c:pt>
                <c:pt idx="36">
                  <c:v>300</c:v>
                </c:pt>
                <c:pt idx="37">
                  <c:v>310</c:v>
                </c:pt>
                <c:pt idx="38">
                  <c:v>320</c:v>
                </c:pt>
                <c:pt idx="39">
                  <c:v>350</c:v>
                </c:pt>
              </c:numCache>
            </c:numRef>
          </c:xVal>
          <c:yVal>
            <c:numRef>
              <c:f>등류!$C$3:$C$100</c:f>
              <c:numCache>
                <c:formatCode>0.000_ </c:formatCode>
                <c:ptCount val="98"/>
                <c:pt idx="0">
                  <c:v>4.7649545000000001E-2</c:v>
                </c:pt>
                <c:pt idx="1">
                  <c:v>0.13480981</c:v>
                </c:pt>
                <c:pt idx="2">
                  <c:v>0.31348007</c:v>
                </c:pt>
                <c:pt idx="3">
                  <c:v>0.47350826000000001</c:v>
                </c:pt>
                <c:pt idx="4">
                  <c:v>0.56514365</c:v>
                </c:pt>
                <c:pt idx="5">
                  <c:v>0.65706494999999998</c:v>
                </c:pt>
                <c:pt idx="6">
                  <c:v>0.74126950999999996</c:v>
                </c:pt>
                <c:pt idx="7">
                  <c:v>0.84212032000000003</c:v>
                </c:pt>
                <c:pt idx="8">
                  <c:v>0.93170777000000005</c:v>
                </c:pt>
                <c:pt idx="9">
                  <c:v>1.0176829000000001</c:v>
                </c:pt>
                <c:pt idx="10">
                  <c:v>1.1090070999999999</c:v>
                </c:pt>
                <c:pt idx="11">
                  <c:v>1.2094389999999999</c:v>
                </c:pt>
                <c:pt idx="12">
                  <c:v>1.2893250000000001</c:v>
                </c:pt>
                <c:pt idx="13">
                  <c:v>1.3932964000000001</c:v>
                </c:pt>
                <c:pt idx="14">
                  <c:v>1.4778910999999999</c:v>
                </c:pt>
                <c:pt idx="15">
                  <c:v>1.5782593</c:v>
                </c:pt>
                <c:pt idx="16">
                  <c:v>1.6669442000000001</c:v>
                </c:pt>
                <c:pt idx="17">
                  <c:v>1.7423777</c:v>
                </c:pt>
                <c:pt idx="18">
                  <c:v>1.9448288</c:v>
                </c:pt>
                <c:pt idx="19">
                  <c:v>2.1285626</c:v>
                </c:pt>
                <c:pt idx="20">
                  <c:v>2.3147448000000002</c:v>
                </c:pt>
                <c:pt idx="21">
                  <c:v>2.4853847999999998</c:v>
                </c:pt>
                <c:pt idx="22">
                  <c:v>2.6665936000000001</c:v>
                </c:pt>
                <c:pt idx="23">
                  <c:v>2.8664407999999999</c:v>
                </c:pt>
                <c:pt idx="24">
                  <c:v>3.0428994</c:v>
                </c:pt>
                <c:pt idx="25">
                  <c:v>3.2375286999999999</c:v>
                </c:pt>
                <c:pt idx="26">
                  <c:v>3.4285000999999999</c:v>
                </c:pt>
                <c:pt idx="27">
                  <c:v>3.6008637999999999</c:v>
                </c:pt>
                <c:pt idx="28">
                  <c:v>3.8056492999999998</c:v>
                </c:pt>
                <c:pt idx="29">
                  <c:v>3.9937629000000001</c:v>
                </c:pt>
                <c:pt idx="30">
                  <c:v>4.1845071000000003</c:v>
                </c:pt>
                <c:pt idx="31">
                  <c:v>4.3531667000000001</c:v>
                </c:pt>
                <c:pt idx="32">
                  <c:v>4.5419862999999996</c:v>
                </c:pt>
                <c:pt idx="33">
                  <c:v>4.7266870000000001</c:v>
                </c:pt>
                <c:pt idx="34">
                  <c:v>4.9302609000000004</c:v>
                </c:pt>
                <c:pt idx="35">
                  <c:v>5.0959688999999999</c:v>
                </c:pt>
                <c:pt idx="36">
                  <c:v>5.2809849</c:v>
                </c:pt>
                <c:pt idx="37">
                  <c:v>5.4746810999999997</c:v>
                </c:pt>
                <c:pt idx="38">
                  <c:v>5.6483144999999997</c:v>
                </c:pt>
                <c:pt idx="39">
                  <c:v>6.2143924999999998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9D-420A-85DE-382471150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298560"/>
        <c:axId val="208299136"/>
      </c:scatterChart>
      <c:valAx>
        <c:axId val="2082985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08299136"/>
        <c:crosses val="autoZero"/>
        <c:crossBetween val="midCat"/>
      </c:valAx>
      <c:valAx>
        <c:axId val="208299136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.000_ 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0829856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01" r="0.7500000000000101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66675</xdr:rowOff>
    </xdr:from>
    <xdr:to>
      <xdr:col>15</xdr:col>
      <xdr:colOff>381000</xdr:colOff>
      <xdr:row>17</xdr:row>
      <xdr:rowOff>161925</xdr:rowOff>
    </xdr:to>
    <xdr:graphicFrame macro="">
      <xdr:nvGraphicFramePr>
        <xdr:cNvPr id="1429" name="Chart 1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F22" sqref="F22"/>
    </sheetView>
  </sheetViews>
  <sheetFormatPr defaultRowHeight="13.5"/>
  <cols>
    <col min="1" max="1" width="8.88671875" style="1"/>
    <col min="3" max="4" width="13.109375" bestFit="1" customWidth="1"/>
    <col min="5" max="5" width="24.109375" style="1" customWidth="1"/>
    <col min="6" max="6" width="15.6640625" style="10" bestFit="1" customWidth="1"/>
    <col min="7" max="9" width="8.88671875" style="10"/>
    <col min="15" max="15" width="11.33203125" bestFit="1" customWidth="1"/>
  </cols>
  <sheetData>
    <row r="1" spans="1:9">
      <c r="A1" s="16" t="s">
        <v>49</v>
      </c>
      <c r="B1" s="16"/>
      <c r="C1" s="16"/>
      <c r="D1" s="16"/>
      <c r="E1" s="16"/>
      <c r="F1" s="5" t="s">
        <v>12</v>
      </c>
      <c r="G1" s="5">
        <v>20</v>
      </c>
      <c r="H1" s="17" t="s">
        <v>13</v>
      </c>
      <c r="I1" s="17"/>
    </row>
    <row r="2" spans="1:9">
      <c r="A2" s="1" t="s">
        <v>4</v>
      </c>
      <c r="B2" s="1" t="s">
        <v>0</v>
      </c>
      <c r="C2" s="1" t="s">
        <v>1</v>
      </c>
      <c r="D2" s="1" t="s">
        <v>2</v>
      </c>
      <c r="E2" s="1" t="s">
        <v>3</v>
      </c>
      <c r="F2" s="5" t="s">
        <v>10</v>
      </c>
      <c r="G2" s="5">
        <v>1020.3</v>
      </c>
      <c r="H2" s="6" t="s">
        <v>47</v>
      </c>
      <c r="I2" s="6" t="s">
        <v>48</v>
      </c>
    </row>
    <row r="3" spans="1:9">
      <c r="A3" s="1" t="s">
        <v>5</v>
      </c>
      <c r="B3" s="1">
        <v>10</v>
      </c>
      <c r="C3" s="2">
        <v>4.7649545000000001E-2</v>
      </c>
      <c r="D3" s="4">
        <v>0</v>
      </c>
      <c r="E3" s="2"/>
      <c r="F3" s="5" t="s">
        <v>14</v>
      </c>
      <c r="G3" s="5">
        <f>760*G2/1013</f>
        <v>765.47680157946695</v>
      </c>
      <c r="H3" s="7">
        <f>((D3/4)*SQRT(2/$G$4))*($G$7/$G$8)*SQRT($G$6)</f>
        <v>0</v>
      </c>
      <c r="I3" s="7">
        <f>((D3/4)*SQRT(2/$G$4))*($G$9/$G$10)*SQRT($G$6)</f>
        <v>0</v>
      </c>
    </row>
    <row r="4" spans="1:9" ht="14.25">
      <c r="A4" s="1" t="s">
        <v>6</v>
      </c>
      <c r="B4" s="1">
        <v>20</v>
      </c>
      <c r="C4" s="2">
        <v>0.13480981</v>
      </c>
      <c r="D4" s="4">
        <f t="shared" ref="D4:D42" si="0">B4*0.01845-0.26077</f>
        <v>0.10822999999999999</v>
      </c>
      <c r="E4" s="2"/>
      <c r="F4" s="5" t="s">
        <v>20</v>
      </c>
      <c r="G4" s="8">
        <f>0.13186*273/(G1+273)*G3/760</f>
        <v>0.12374468070038308</v>
      </c>
      <c r="H4" s="7">
        <f t="shared" ref="H4:H9" si="1">((D4/4)*SQRT(2/$G$4))*($G$7/$G$8)*SQRT($G$6)</f>
        <v>0.10877758063140758</v>
      </c>
      <c r="I4" s="7">
        <f t="shared" ref="I4:I9" si="2">((D4/4)*SQRT(2/$G$4))*($G$9/$G$10)*SQRT($G$6)</f>
        <v>0.10877758063140758</v>
      </c>
    </row>
    <row r="5" spans="1:9" ht="16.5">
      <c r="A5" s="1" t="s">
        <v>7</v>
      </c>
      <c r="B5" s="1">
        <v>30</v>
      </c>
      <c r="C5" s="2">
        <v>0.31348007</v>
      </c>
      <c r="D5" s="4">
        <f t="shared" si="0"/>
        <v>0.29272999999999999</v>
      </c>
      <c r="E5" s="2"/>
      <c r="F5" s="5" t="s">
        <v>19</v>
      </c>
      <c r="G5" s="8">
        <f>G4*9.80665</f>
        <v>1.2135207729904116</v>
      </c>
      <c r="H5" s="7">
        <f t="shared" si="1"/>
        <v>0.29421104294772188</v>
      </c>
      <c r="I5" s="7">
        <f t="shared" si="2"/>
        <v>0.29421104294772188</v>
      </c>
    </row>
    <row r="6" spans="1:9">
      <c r="A6" s="1" t="s">
        <v>8</v>
      </c>
      <c r="B6" s="1">
        <v>40</v>
      </c>
      <c r="C6" s="2">
        <v>0.47350826000000001</v>
      </c>
      <c r="D6" s="4">
        <f t="shared" si="0"/>
        <v>0.47722999999999999</v>
      </c>
      <c r="E6" s="2"/>
      <c r="F6" s="5" t="s">
        <v>15</v>
      </c>
      <c r="G6" s="13">
        <v>1</v>
      </c>
      <c r="H6" s="7">
        <f t="shared" si="1"/>
        <v>0.47964450526403618</v>
      </c>
      <c r="I6" s="7">
        <f t="shared" si="2"/>
        <v>0.47964450526403618</v>
      </c>
    </row>
    <row r="7" spans="1:9">
      <c r="A7" s="1" t="s">
        <v>9</v>
      </c>
      <c r="B7" s="1">
        <v>45</v>
      </c>
      <c r="C7" s="2">
        <v>0.56514365</v>
      </c>
      <c r="D7" s="4">
        <f t="shared" si="0"/>
        <v>0.56947999999999999</v>
      </c>
      <c r="E7" s="2"/>
      <c r="F7" s="5" t="s">
        <v>16</v>
      </c>
      <c r="G7" s="15">
        <v>1</v>
      </c>
      <c r="H7" s="7">
        <f t="shared" si="1"/>
        <v>0.57236123642219339</v>
      </c>
      <c r="I7" s="7">
        <f t="shared" si="2"/>
        <v>0.57236123642219339</v>
      </c>
    </row>
    <row r="8" spans="1:9">
      <c r="A8" s="1" t="s">
        <v>11</v>
      </c>
      <c r="B8" s="1">
        <v>50</v>
      </c>
      <c r="C8" s="2">
        <v>0.65706494999999998</v>
      </c>
      <c r="D8" s="4">
        <f t="shared" si="0"/>
        <v>0.66173000000000015</v>
      </c>
      <c r="E8" s="2"/>
      <c r="F8" s="5" t="s">
        <v>17</v>
      </c>
      <c r="G8" s="15">
        <v>1</v>
      </c>
      <c r="H8" s="7">
        <f t="shared" si="1"/>
        <v>0.66507796758035065</v>
      </c>
      <c r="I8" s="7">
        <f t="shared" si="2"/>
        <v>0.66507796758035065</v>
      </c>
    </row>
    <row r="9" spans="1:9">
      <c r="A9" s="1" t="s">
        <v>22</v>
      </c>
      <c r="B9" s="1">
        <v>55</v>
      </c>
      <c r="C9" s="2">
        <v>0.74126950999999996</v>
      </c>
      <c r="D9" s="4">
        <f t="shared" si="0"/>
        <v>0.75398000000000009</v>
      </c>
      <c r="E9" s="2"/>
      <c r="F9" s="5" t="s">
        <v>18</v>
      </c>
      <c r="G9" s="15">
        <v>1</v>
      </c>
      <c r="H9" s="7">
        <f t="shared" si="1"/>
        <v>0.7577946987385078</v>
      </c>
      <c r="I9" s="7">
        <f t="shared" si="2"/>
        <v>0.7577946987385078</v>
      </c>
    </row>
    <row r="10" spans="1:9">
      <c r="A10" s="1" t="s">
        <v>23</v>
      </c>
      <c r="B10" s="1">
        <v>60</v>
      </c>
      <c r="C10" s="2">
        <v>0.84212032000000003</v>
      </c>
      <c r="D10" s="4">
        <f t="shared" si="0"/>
        <v>0.84623000000000004</v>
      </c>
      <c r="E10" s="2"/>
      <c r="F10" s="5" t="s">
        <v>21</v>
      </c>
      <c r="G10" s="15">
        <v>1</v>
      </c>
      <c r="H10" s="7">
        <f t="shared" ref="H10:H33" si="3">((D10/4)*SQRT(2/$G$4))*($G$7/$G$8)*SQRT($G$6)</f>
        <v>0.85051142989666484</v>
      </c>
      <c r="I10" s="7">
        <f t="shared" ref="I10:I33" si="4">((D10/4)*SQRT(2/$G$4))*($G$9/$G$10)*SQRT($G$6)</f>
        <v>0.85051142989666484</v>
      </c>
    </row>
    <row r="11" spans="1:9">
      <c r="A11" s="1" t="s">
        <v>24</v>
      </c>
      <c r="B11" s="1">
        <v>65</v>
      </c>
      <c r="C11" s="2">
        <v>0.93170777000000005</v>
      </c>
      <c r="D11" s="4">
        <f t="shared" si="0"/>
        <v>0.9384800000000002</v>
      </c>
      <c r="E11" s="2"/>
      <c r="F11" s="9"/>
      <c r="H11" s="7">
        <f t="shared" si="3"/>
        <v>0.94322816105482221</v>
      </c>
      <c r="I11" s="7">
        <f t="shared" si="4"/>
        <v>0.94322816105482221</v>
      </c>
    </row>
    <row r="12" spans="1:9">
      <c r="A12" s="1" t="s">
        <v>25</v>
      </c>
      <c r="B12" s="1">
        <v>70</v>
      </c>
      <c r="C12" s="2">
        <v>1.0176829000000001</v>
      </c>
      <c r="D12" s="4">
        <f t="shared" si="0"/>
        <v>1.0307300000000001</v>
      </c>
      <c r="E12" s="2"/>
      <c r="F12" s="9"/>
      <c r="H12" s="7">
        <f t="shared" si="3"/>
        <v>1.0359448922129793</v>
      </c>
      <c r="I12" s="7">
        <f t="shared" si="4"/>
        <v>1.0359448922129793</v>
      </c>
    </row>
    <row r="13" spans="1:9">
      <c r="A13" s="1" t="s">
        <v>26</v>
      </c>
      <c r="B13" s="1">
        <v>75</v>
      </c>
      <c r="C13" s="2">
        <v>1.1090070999999999</v>
      </c>
      <c r="D13" s="4">
        <f t="shared" si="0"/>
        <v>1.1229800000000001</v>
      </c>
      <c r="E13" s="2"/>
      <c r="F13" s="9"/>
      <c r="H13" s="7">
        <f t="shared" si="3"/>
        <v>1.1286616233711364</v>
      </c>
      <c r="I13" s="7">
        <f t="shared" si="4"/>
        <v>1.1286616233711364</v>
      </c>
    </row>
    <row r="14" spans="1:9">
      <c r="A14" s="1" t="s">
        <v>27</v>
      </c>
      <c r="B14" s="1">
        <v>80</v>
      </c>
      <c r="C14" s="2">
        <v>1.2094389999999999</v>
      </c>
      <c r="D14" s="4">
        <f t="shared" si="0"/>
        <v>1.21523</v>
      </c>
      <c r="E14" s="2"/>
      <c r="F14" s="9"/>
      <c r="H14" s="7">
        <f t="shared" si="3"/>
        <v>1.2213783545292936</v>
      </c>
      <c r="I14" s="7">
        <f t="shared" si="4"/>
        <v>1.2213783545292936</v>
      </c>
    </row>
    <row r="15" spans="1:9">
      <c r="A15" s="1" t="s">
        <v>28</v>
      </c>
      <c r="B15" s="1">
        <v>85</v>
      </c>
      <c r="C15" s="2">
        <v>1.2893250000000001</v>
      </c>
      <c r="D15" s="4">
        <f t="shared" si="0"/>
        <v>1.3074800000000002</v>
      </c>
      <c r="E15" s="2"/>
      <c r="F15" s="9"/>
      <c r="H15" s="7">
        <f t="shared" si="3"/>
        <v>1.3140950856874509</v>
      </c>
      <c r="I15" s="7">
        <f t="shared" si="4"/>
        <v>1.3140950856874509</v>
      </c>
    </row>
    <row r="16" spans="1:9">
      <c r="A16" s="1" t="s">
        <v>29</v>
      </c>
      <c r="B16" s="1">
        <v>90</v>
      </c>
      <c r="C16" s="2">
        <v>1.3932964000000001</v>
      </c>
      <c r="D16" s="4">
        <f t="shared" si="0"/>
        <v>1.3997300000000001</v>
      </c>
      <c r="E16" s="2"/>
      <c r="F16" s="9"/>
      <c r="H16" s="7">
        <f t="shared" si="3"/>
        <v>1.4068118168456079</v>
      </c>
      <c r="I16" s="7">
        <f t="shared" si="4"/>
        <v>1.4068118168456079</v>
      </c>
    </row>
    <row r="17" spans="1:9">
      <c r="A17" s="1" t="s">
        <v>30</v>
      </c>
      <c r="B17" s="1">
        <v>95</v>
      </c>
      <c r="C17" s="2">
        <v>1.4778910999999999</v>
      </c>
      <c r="D17" s="4">
        <f t="shared" si="0"/>
        <v>1.4919800000000001</v>
      </c>
      <c r="E17" s="2"/>
      <c r="F17" s="9"/>
      <c r="H17" s="7">
        <f t="shared" si="3"/>
        <v>1.499528548003765</v>
      </c>
      <c r="I17" s="7">
        <f t="shared" si="4"/>
        <v>1.499528548003765</v>
      </c>
    </row>
    <row r="18" spans="1:9">
      <c r="A18" s="1" t="s">
        <v>31</v>
      </c>
      <c r="B18" s="1">
        <v>100</v>
      </c>
      <c r="C18" s="2">
        <v>1.5782593</v>
      </c>
      <c r="D18" s="4">
        <f t="shared" si="0"/>
        <v>1.5842300000000002</v>
      </c>
      <c r="E18" s="2"/>
      <c r="F18" s="9"/>
      <c r="H18" s="7">
        <f t="shared" si="3"/>
        <v>1.5922452791619224</v>
      </c>
      <c r="I18" s="7">
        <f t="shared" si="4"/>
        <v>1.5922452791619224</v>
      </c>
    </row>
    <row r="19" spans="1:9">
      <c r="A19" s="1" t="s">
        <v>32</v>
      </c>
      <c r="B19" s="1">
        <v>105</v>
      </c>
      <c r="C19" s="2">
        <v>1.6669442000000001</v>
      </c>
      <c r="D19" s="4">
        <f t="shared" si="0"/>
        <v>1.6764800000000002</v>
      </c>
      <c r="F19" s="9"/>
      <c r="H19" s="7">
        <f t="shared" si="3"/>
        <v>1.6849620103200795</v>
      </c>
      <c r="I19" s="7">
        <f t="shared" si="4"/>
        <v>1.6849620103200795</v>
      </c>
    </row>
    <row r="20" spans="1:9">
      <c r="A20" s="1" t="s">
        <v>33</v>
      </c>
      <c r="B20" s="1">
        <v>110</v>
      </c>
      <c r="C20" s="2">
        <v>1.7423777</v>
      </c>
      <c r="D20" s="4">
        <f t="shared" si="0"/>
        <v>1.7687300000000001</v>
      </c>
      <c r="E20" s="12"/>
      <c r="F20" s="9"/>
      <c r="H20" s="7">
        <f t="shared" si="3"/>
        <v>1.7776787414782367</v>
      </c>
      <c r="I20" s="7">
        <f t="shared" si="4"/>
        <v>1.7776787414782367</v>
      </c>
    </row>
    <row r="21" spans="1:9">
      <c r="A21" s="1" t="s">
        <v>34</v>
      </c>
      <c r="B21" s="1">
        <v>120</v>
      </c>
      <c r="C21" s="2">
        <v>1.9448288</v>
      </c>
      <c r="D21" s="4">
        <f t="shared" si="0"/>
        <v>1.95323</v>
      </c>
      <c r="E21" s="12"/>
      <c r="F21" s="9"/>
      <c r="H21" s="7">
        <f t="shared" si="3"/>
        <v>1.9631122037945508</v>
      </c>
      <c r="I21" s="7">
        <f t="shared" si="4"/>
        <v>1.9631122037945508</v>
      </c>
    </row>
    <row r="22" spans="1:9">
      <c r="A22" s="1" t="s">
        <v>35</v>
      </c>
      <c r="B22" s="1">
        <v>130</v>
      </c>
      <c r="C22" s="2">
        <v>2.1285626</v>
      </c>
      <c r="D22" s="4">
        <f t="shared" si="0"/>
        <v>2.1377300000000004</v>
      </c>
      <c r="E22" s="2"/>
      <c r="F22" s="9"/>
      <c r="H22" s="7">
        <f t="shared" si="3"/>
        <v>2.1485456661108655</v>
      </c>
      <c r="I22" s="7">
        <f t="shared" si="4"/>
        <v>2.1485456661108655</v>
      </c>
    </row>
    <row r="23" spans="1:9">
      <c r="A23" s="1" t="s">
        <v>36</v>
      </c>
      <c r="B23" s="1">
        <v>140</v>
      </c>
      <c r="C23" s="2">
        <v>2.3147448000000002</v>
      </c>
      <c r="D23" s="4">
        <f t="shared" si="0"/>
        <v>2.3222300000000002</v>
      </c>
      <c r="F23" s="9"/>
      <c r="H23" s="7">
        <f t="shared" si="3"/>
        <v>2.3339791284271798</v>
      </c>
      <c r="I23" s="7">
        <f t="shared" si="4"/>
        <v>2.3339791284271798</v>
      </c>
    </row>
    <row r="24" spans="1:9">
      <c r="A24" s="1" t="s">
        <v>37</v>
      </c>
      <c r="B24" s="1">
        <v>150</v>
      </c>
      <c r="C24" s="2">
        <v>2.4853847999999998</v>
      </c>
      <c r="D24" s="4">
        <f t="shared" si="0"/>
        <v>2.5067300000000001</v>
      </c>
      <c r="E24" s="2"/>
      <c r="F24" s="9"/>
      <c r="H24" s="7">
        <f t="shared" si="3"/>
        <v>2.5194125907434937</v>
      </c>
      <c r="I24" s="7">
        <f t="shared" si="4"/>
        <v>2.5194125907434937</v>
      </c>
    </row>
    <row r="25" spans="1:9">
      <c r="A25" s="1" t="s">
        <v>38</v>
      </c>
      <c r="B25" s="1">
        <v>160</v>
      </c>
      <c r="C25" s="2">
        <v>2.6665936000000001</v>
      </c>
      <c r="D25" s="4">
        <f t="shared" si="0"/>
        <v>2.69123</v>
      </c>
      <c r="E25" s="2"/>
      <c r="F25" s="9"/>
      <c r="H25" s="7">
        <f t="shared" si="3"/>
        <v>2.704846053059808</v>
      </c>
      <c r="I25" s="7">
        <f t="shared" si="4"/>
        <v>2.704846053059808</v>
      </c>
    </row>
    <row r="26" spans="1:9">
      <c r="A26" s="1" t="s">
        <v>39</v>
      </c>
      <c r="B26" s="1">
        <v>170</v>
      </c>
      <c r="C26" s="2">
        <v>2.8664407999999999</v>
      </c>
      <c r="D26" s="4">
        <f t="shared" si="0"/>
        <v>2.8757300000000003</v>
      </c>
      <c r="F26" s="9"/>
      <c r="H26" s="7">
        <f t="shared" si="3"/>
        <v>2.8902795153761227</v>
      </c>
      <c r="I26" s="7">
        <f t="shared" si="4"/>
        <v>2.8902795153761227</v>
      </c>
    </row>
    <row r="27" spans="1:9">
      <c r="A27" s="1" t="s">
        <v>40</v>
      </c>
      <c r="B27" s="1">
        <v>180</v>
      </c>
      <c r="C27" s="2">
        <v>3.0428994</v>
      </c>
      <c r="D27" s="4">
        <f t="shared" si="0"/>
        <v>3.0602300000000002</v>
      </c>
      <c r="E27" s="2"/>
      <c r="F27" s="9"/>
      <c r="H27" s="7">
        <f t="shared" si="3"/>
        <v>3.075712977692437</v>
      </c>
      <c r="I27" s="7">
        <f t="shared" si="4"/>
        <v>3.075712977692437</v>
      </c>
    </row>
    <row r="28" spans="1:9">
      <c r="A28" s="1" t="s">
        <v>41</v>
      </c>
      <c r="B28" s="1">
        <v>190</v>
      </c>
      <c r="C28" s="2">
        <v>3.2375286999999999</v>
      </c>
      <c r="D28" s="4">
        <f t="shared" si="0"/>
        <v>3.2447300000000001</v>
      </c>
      <c r="E28" s="2"/>
      <c r="F28" s="9"/>
      <c r="H28" s="7">
        <f t="shared" si="3"/>
        <v>3.2611464400087513</v>
      </c>
      <c r="I28" s="7">
        <f t="shared" si="4"/>
        <v>3.2611464400087513</v>
      </c>
    </row>
    <row r="29" spans="1:9">
      <c r="A29" s="1" t="s">
        <v>42</v>
      </c>
      <c r="B29" s="1">
        <v>200</v>
      </c>
      <c r="C29" s="2">
        <v>3.4285000999999999</v>
      </c>
      <c r="D29" s="4">
        <f t="shared" si="0"/>
        <v>3.4292300000000004</v>
      </c>
      <c r="E29" s="2"/>
      <c r="F29" s="9"/>
      <c r="H29" s="7">
        <f t="shared" si="3"/>
        <v>3.4465799023250656</v>
      </c>
      <c r="I29" s="7">
        <f t="shared" si="4"/>
        <v>3.4465799023250656</v>
      </c>
    </row>
    <row r="30" spans="1:9">
      <c r="A30" s="1" t="s">
        <v>43</v>
      </c>
      <c r="B30" s="1">
        <v>210</v>
      </c>
      <c r="C30" s="2">
        <v>3.6008637999999999</v>
      </c>
      <c r="D30" s="4">
        <f t="shared" si="0"/>
        <v>3.6137300000000003</v>
      </c>
      <c r="E30" s="2"/>
      <c r="F30" s="9"/>
      <c r="H30" s="7">
        <f t="shared" si="3"/>
        <v>3.6320133646413799</v>
      </c>
      <c r="I30" s="7">
        <f t="shared" si="4"/>
        <v>3.6320133646413799</v>
      </c>
    </row>
    <row r="31" spans="1:9">
      <c r="A31" s="1" t="s">
        <v>44</v>
      </c>
      <c r="B31" s="1">
        <v>220</v>
      </c>
      <c r="C31" s="2">
        <v>3.8056492999999998</v>
      </c>
      <c r="D31" s="4">
        <f t="shared" si="0"/>
        <v>3.7982300000000002</v>
      </c>
      <c r="E31" s="2"/>
      <c r="F31" s="9"/>
      <c r="H31" s="7">
        <f t="shared" si="3"/>
        <v>3.8174468269576942</v>
      </c>
      <c r="I31" s="7">
        <f t="shared" si="4"/>
        <v>3.8174468269576942</v>
      </c>
    </row>
    <row r="32" spans="1:9">
      <c r="A32" s="1" t="s">
        <v>45</v>
      </c>
      <c r="B32" s="1">
        <v>230</v>
      </c>
      <c r="C32" s="2">
        <v>3.9937629000000001</v>
      </c>
      <c r="D32" s="4">
        <f t="shared" si="0"/>
        <v>3.9827300000000001</v>
      </c>
      <c r="E32" s="2"/>
      <c r="F32" s="9"/>
      <c r="H32" s="7">
        <f t="shared" si="3"/>
        <v>4.0028802892740085</v>
      </c>
      <c r="I32" s="7">
        <f t="shared" si="4"/>
        <v>4.0028802892740085</v>
      </c>
    </row>
    <row r="33" spans="1:15">
      <c r="A33" s="1" t="s">
        <v>46</v>
      </c>
      <c r="B33" s="1">
        <v>240</v>
      </c>
      <c r="C33" s="2">
        <v>4.1845071000000003</v>
      </c>
      <c r="D33" s="4">
        <f t="shared" si="0"/>
        <v>4.16723</v>
      </c>
      <c r="E33" s="2"/>
      <c r="F33" s="9"/>
      <c r="H33" s="7">
        <f t="shared" si="3"/>
        <v>4.1883137515903224</v>
      </c>
      <c r="I33" s="7">
        <f t="shared" si="4"/>
        <v>4.1883137515903224</v>
      </c>
    </row>
    <row r="34" spans="1:15">
      <c r="A34" s="1" t="s">
        <v>50</v>
      </c>
      <c r="B34" s="1">
        <v>250</v>
      </c>
      <c r="C34" s="2">
        <v>4.3531667000000001</v>
      </c>
      <c r="D34" s="4">
        <f>B34*0.01845-0.26077</f>
        <v>4.3517300000000008</v>
      </c>
      <c r="E34" s="2"/>
      <c r="F34" s="9"/>
      <c r="H34" s="7">
        <f t="shared" ref="H34:H42" si="5">((D34/4)*SQRT(2/$G$4))*($G$7/$G$8)*SQRT($G$6)</f>
        <v>4.373747213906638</v>
      </c>
      <c r="I34" s="7">
        <f t="shared" ref="I34:I42" si="6">((D34/4)*SQRT(2/$G$4))*($G$9/$G$10)*SQRT($G$6)</f>
        <v>4.373747213906638</v>
      </c>
    </row>
    <row r="35" spans="1:15">
      <c r="A35" s="1" t="s">
        <v>51</v>
      </c>
      <c r="B35" s="1">
        <v>260</v>
      </c>
      <c r="C35" s="2">
        <v>4.5419862999999996</v>
      </c>
      <c r="D35" s="4">
        <f t="shared" si="0"/>
        <v>4.5362300000000007</v>
      </c>
      <c r="E35" s="2"/>
      <c r="F35" s="9"/>
      <c r="H35" s="7">
        <f t="shared" si="5"/>
        <v>4.5591806762229519</v>
      </c>
      <c r="I35" s="7">
        <f t="shared" si="6"/>
        <v>4.5591806762229519</v>
      </c>
    </row>
    <row r="36" spans="1:15">
      <c r="A36" s="1" t="s">
        <v>52</v>
      </c>
      <c r="B36" s="1">
        <v>270</v>
      </c>
      <c r="C36" s="2">
        <v>4.7266870000000001</v>
      </c>
      <c r="D36" s="4">
        <f t="shared" si="0"/>
        <v>4.7207300000000005</v>
      </c>
      <c r="E36" s="2"/>
      <c r="F36" s="9"/>
      <c r="H36" s="7">
        <f t="shared" si="5"/>
        <v>4.7446141385392657</v>
      </c>
      <c r="I36" s="7">
        <f t="shared" si="6"/>
        <v>4.7446141385392657</v>
      </c>
    </row>
    <row r="37" spans="1:15">
      <c r="A37" s="1" t="s">
        <v>53</v>
      </c>
      <c r="B37" s="1">
        <v>280</v>
      </c>
      <c r="C37" s="2">
        <v>4.9302609000000004</v>
      </c>
      <c r="D37" s="4">
        <f t="shared" si="0"/>
        <v>4.9052300000000004</v>
      </c>
      <c r="E37" s="2"/>
      <c r="F37" s="9"/>
      <c r="H37" s="7">
        <f t="shared" si="5"/>
        <v>4.9300476008555805</v>
      </c>
      <c r="I37" s="7">
        <f t="shared" si="6"/>
        <v>4.9300476008555805</v>
      </c>
    </row>
    <row r="38" spans="1:15">
      <c r="A38" s="1" t="s">
        <v>54</v>
      </c>
      <c r="B38" s="1">
        <v>290</v>
      </c>
      <c r="C38" s="2">
        <v>5.0959688999999999</v>
      </c>
      <c r="D38" s="4">
        <f t="shared" si="0"/>
        <v>5.0897300000000003</v>
      </c>
      <c r="E38" s="2"/>
      <c r="F38" s="9"/>
      <c r="H38" s="7">
        <f t="shared" si="5"/>
        <v>5.1154810631718943</v>
      </c>
      <c r="I38" s="7">
        <f t="shared" si="6"/>
        <v>5.1154810631718943</v>
      </c>
    </row>
    <row r="39" spans="1:15">
      <c r="A39" s="1" t="s">
        <v>55</v>
      </c>
      <c r="B39" s="1">
        <v>300</v>
      </c>
      <c r="C39" s="2">
        <v>5.2809849</v>
      </c>
      <c r="D39" s="4">
        <f t="shared" si="0"/>
        <v>5.2742300000000002</v>
      </c>
      <c r="E39" s="2"/>
      <c r="F39" s="9"/>
      <c r="H39" s="7">
        <f t="shared" si="5"/>
        <v>5.3009145254882091</v>
      </c>
      <c r="I39" s="7">
        <f t="shared" si="6"/>
        <v>5.3009145254882091</v>
      </c>
    </row>
    <row r="40" spans="1:15">
      <c r="A40" s="1" t="s">
        <v>56</v>
      </c>
      <c r="B40" s="1">
        <v>310</v>
      </c>
      <c r="C40" s="2">
        <v>5.4746810999999997</v>
      </c>
      <c r="D40" s="4">
        <f t="shared" si="0"/>
        <v>5.4587300000000001</v>
      </c>
      <c r="E40" s="2"/>
      <c r="F40" s="9"/>
      <c r="H40" s="7">
        <f t="shared" si="5"/>
        <v>5.4863479878045229</v>
      </c>
      <c r="I40" s="7">
        <f t="shared" si="6"/>
        <v>5.4863479878045229</v>
      </c>
    </row>
    <row r="41" spans="1:15">
      <c r="A41" s="1" t="s">
        <v>57</v>
      </c>
      <c r="B41" s="1">
        <v>320</v>
      </c>
      <c r="C41" s="2">
        <v>5.6483144999999997</v>
      </c>
      <c r="D41" s="4">
        <f t="shared" si="0"/>
        <v>5.64323</v>
      </c>
      <c r="E41" s="2"/>
      <c r="F41" s="9"/>
      <c r="H41" s="7">
        <f t="shared" si="5"/>
        <v>5.6717814501208368</v>
      </c>
      <c r="I41" s="7">
        <f t="shared" si="6"/>
        <v>5.6717814501208368</v>
      </c>
      <c r="O41" s="14"/>
    </row>
    <row r="42" spans="1:15">
      <c r="A42" s="1" t="s">
        <v>58</v>
      </c>
      <c r="B42" s="1">
        <v>350</v>
      </c>
      <c r="C42" s="2">
        <v>6.2143924999999998</v>
      </c>
      <c r="D42" s="4">
        <f t="shared" si="0"/>
        <v>6.1967300000000005</v>
      </c>
      <c r="E42" s="2"/>
      <c r="F42" s="9"/>
      <c r="H42" s="7">
        <f t="shared" si="5"/>
        <v>6.2280818370697801</v>
      </c>
      <c r="I42" s="7">
        <f t="shared" si="6"/>
        <v>6.2280818370697801</v>
      </c>
    </row>
    <row r="43" spans="1:15">
      <c r="B43" s="1"/>
      <c r="C43" s="2"/>
      <c r="D43" s="4"/>
      <c r="E43" s="2"/>
      <c r="F43" s="9"/>
      <c r="H43" s="7"/>
      <c r="I43" s="7"/>
    </row>
    <row r="44" spans="1:15">
      <c r="B44" s="1"/>
      <c r="C44" s="2"/>
      <c r="D44" s="4"/>
      <c r="E44" s="2"/>
      <c r="F44" s="9"/>
      <c r="H44" s="7"/>
      <c r="I44" s="7"/>
    </row>
    <row r="45" spans="1:15">
      <c r="B45" s="1"/>
      <c r="C45" s="2"/>
      <c r="D45" s="4"/>
      <c r="E45" s="2"/>
      <c r="F45" s="9"/>
      <c r="H45" s="7"/>
      <c r="I45" s="7"/>
    </row>
    <row r="46" spans="1:15">
      <c r="B46" s="1"/>
      <c r="C46" s="2"/>
      <c r="D46" s="4"/>
      <c r="E46" s="2"/>
      <c r="F46" s="9"/>
      <c r="H46" s="7"/>
      <c r="I46" s="7"/>
    </row>
    <row r="47" spans="1:15">
      <c r="B47" s="1"/>
      <c r="C47" s="2"/>
      <c r="D47" s="4"/>
      <c r="E47" s="2"/>
      <c r="F47" s="9"/>
      <c r="H47" s="7"/>
      <c r="I47" s="7"/>
    </row>
    <row r="48" spans="1:15">
      <c r="B48" s="1"/>
      <c r="C48" s="2"/>
      <c r="D48" s="4"/>
      <c r="E48" s="2"/>
      <c r="F48" s="9"/>
      <c r="H48" s="7"/>
      <c r="I48" s="7"/>
    </row>
    <row r="49" spans="2:9">
      <c r="B49" s="1"/>
      <c r="C49" s="2"/>
      <c r="D49" s="4"/>
      <c r="E49" s="2"/>
      <c r="F49" s="9"/>
      <c r="H49" s="7"/>
      <c r="I49" s="7"/>
    </row>
    <row r="50" spans="2:9">
      <c r="B50" s="1"/>
      <c r="C50" s="2"/>
      <c r="D50" s="4"/>
      <c r="E50" s="2"/>
      <c r="F50" s="9"/>
      <c r="H50" s="7"/>
      <c r="I50" s="7"/>
    </row>
    <row r="51" spans="2:9">
      <c r="B51" s="1"/>
      <c r="C51" s="2"/>
      <c r="D51" s="4"/>
      <c r="E51" s="2"/>
      <c r="F51" s="9"/>
      <c r="H51" s="7"/>
      <c r="I51" s="7"/>
    </row>
    <row r="52" spans="2:9">
      <c r="B52" s="1"/>
      <c r="C52" s="2"/>
      <c r="D52" s="4"/>
      <c r="E52" s="2"/>
      <c r="F52" s="9"/>
      <c r="H52" s="7"/>
      <c r="I52" s="7"/>
    </row>
    <row r="53" spans="2:9">
      <c r="B53" s="1"/>
      <c r="C53" s="2"/>
      <c r="D53" s="4"/>
      <c r="E53" s="2"/>
      <c r="F53" s="9"/>
      <c r="H53" s="7"/>
      <c r="I53" s="7"/>
    </row>
    <row r="54" spans="2:9">
      <c r="B54" s="1"/>
      <c r="C54" s="2"/>
      <c r="D54" s="4"/>
      <c r="E54" s="2"/>
      <c r="F54" s="9"/>
      <c r="H54" s="7"/>
      <c r="I54" s="7"/>
    </row>
    <row r="55" spans="2:9">
      <c r="B55" s="1"/>
      <c r="C55" s="2"/>
      <c r="D55" s="4"/>
      <c r="E55" s="2"/>
      <c r="F55" s="9"/>
      <c r="H55" s="7"/>
      <c r="I55" s="7"/>
    </row>
    <row r="56" spans="2:9">
      <c r="B56" s="1"/>
      <c r="C56" s="2"/>
      <c r="D56" s="4"/>
      <c r="E56" s="2"/>
      <c r="F56" s="9"/>
      <c r="H56" s="7"/>
      <c r="I56" s="7"/>
    </row>
    <row r="57" spans="2:9">
      <c r="B57" s="1"/>
      <c r="C57" s="2"/>
      <c r="D57" s="4"/>
      <c r="E57" s="2"/>
      <c r="F57" s="9"/>
      <c r="H57" s="7"/>
      <c r="I57" s="7"/>
    </row>
    <row r="58" spans="2:9">
      <c r="B58" s="1"/>
      <c r="C58" s="2"/>
      <c r="D58" s="4"/>
      <c r="E58" s="2"/>
      <c r="F58" s="9"/>
      <c r="H58" s="7"/>
      <c r="I58" s="7"/>
    </row>
    <row r="59" spans="2:9">
      <c r="B59" s="1"/>
      <c r="C59" s="2"/>
      <c r="D59" s="4"/>
      <c r="E59" s="2"/>
      <c r="F59" s="9"/>
      <c r="H59" s="11"/>
      <c r="I59" s="11"/>
    </row>
    <row r="60" spans="2:9">
      <c r="B60" s="1"/>
      <c r="C60" s="2"/>
      <c r="D60" s="4"/>
      <c r="E60" s="2"/>
      <c r="F60" s="9"/>
      <c r="H60" s="11"/>
      <c r="I60" s="11"/>
    </row>
    <row r="61" spans="2:9">
      <c r="B61" s="1"/>
      <c r="C61" s="2"/>
      <c r="D61" s="4"/>
      <c r="E61" s="2"/>
      <c r="F61" s="9"/>
      <c r="H61" s="11"/>
      <c r="I61" s="11"/>
    </row>
    <row r="62" spans="2:9">
      <c r="B62" s="1"/>
      <c r="C62" s="2"/>
      <c r="D62" s="4"/>
      <c r="E62" s="2"/>
      <c r="F62" s="9"/>
      <c r="H62" s="11"/>
      <c r="I62" s="11"/>
    </row>
    <row r="63" spans="2:9">
      <c r="B63" s="1"/>
      <c r="C63" s="2"/>
      <c r="D63" s="4"/>
      <c r="E63" s="2"/>
      <c r="F63" s="9"/>
      <c r="H63" s="11"/>
      <c r="I63" s="11"/>
    </row>
    <row r="64" spans="2:9">
      <c r="B64" s="1"/>
      <c r="C64" s="2"/>
      <c r="D64" s="4"/>
      <c r="E64" s="2"/>
      <c r="F64" s="9"/>
      <c r="H64" s="11"/>
      <c r="I64" s="11"/>
    </row>
    <row r="65" spans="2:9">
      <c r="B65" s="1"/>
      <c r="C65" s="2"/>
      <c r="D65" s="4"/>
      <c r="E65" s="2"/>
      <c r="F65" s="9"/>
      <c r="H65" s="11"/>
      <c r="I65" s="11"/>
    </row>
    <row r="66" spans="2:9">
      <c r="B66" s="1"/>
      <c r="C66" s="2"/>
      <c r="D66" s="4"/>
      <c r="E66" s="2"/>
      <c r="F66" s="9"/>
      <c r="H66" s="11"/>
      <c r="I66" s="11"/>
    </row>
    <row r="67" spans="2:9">
      <c r="B67" s="1"/>
      <c r="C67" s="2"/>
      <c r="D67" s="4"/>
      <c r="E67" s="2"/>
      <c r="F67" s="9"/>
      <c r="H67" s="11"/>
      <c r="I67" s="11"/>
    </row>
    <row r="68" spans="2:9">
      <c r="B68" s="1"/>
      <c r="C68" s="2"/>
      <c r="D68" s="4"/>
      <c r="E68" s="2"/>
      <c r="F68" s="9"/>
      <c r="H68" s="11"/>
      <c r="I68" s="11"/>
    </row>
    <row r="69" spans="2:9">
      <c r="B69" s="1"/>
      <c r="C69" s="2"/>
      <c r="D69" s="4"/>
      <c r="E69" s="2"/>
      <c r="F69" s="9"/>
      <c r="H69" s="11"/>
      <c r="I69" s="11"/>
    </row>
    <row r="70" spans="2:9">
      <c r="B70" s="1"/>
      <c r="C70" s="2"/>
      <c r="D70" s="4"/>
      <c r="E70" s="2"/>
      <c r="F70" s="9"/>
      <c r="H70" s="11"/>
      <c r="I70" s="11"/>
    </row>
    <row r="71" spans="2:9">
      <c r="B71" s="1"/>
      <c r="C71" s="2"/>
      <c r="D71" s="4"/>
      <c r="E71" s="2"/>
      <c r="F71" s="9"/>
      <c r="H71" s="11"/>
      <c r="I71" s="11"/>
    </row>
    <row r="72" spans="2:9">
      <c r="B72" s="1"/>
      <c r="C72" s="2"/>
      <c r="D72" s="4"/>
      <c r="E72" s="2"/>
      <c r="F72" s="9"/>
      <c r="H72" s="11"/>
      <c r="I72" s="11"/>
    </row>
    <row r="73" spans="2:9">
      <c r="B73" s="1"/>
      <c r="C73" s="2"/>
      <c r="D73" s="4"/>
      <c r="E73" s="2"/>
      <c r="F73" s="9"/>
      <c r="H73" s="11"/>
      <c r="I73" s="11"/>
    </row>
    <row r="74" spans="2:9">
      <c r="B74" s="1"/>
      <c r="C74" s="2"/>
      <c r="D74" s="4"/>
      <c r="E74" s="2"/>
      <c r="F74" s="9"/>
      <c r="H74" s="11"/>
      <c r="I74" s="11"/>
    </row>
    <row r="75" spans="2:9">
      <c r="B75" s="1"/>
      <c r="C75" s="2"/>
      <c r="D75" s="4"/>
      <c r="E75" s="2"/>
      <c r="F75" s="9"/>
      <c r="H75" s="11"/>
      <c r="I75" s="11"/>
    </row>
    <row r="76" spans="2:9">
      <c r="B76" s="1"/>
      <c r="C76" s="2"/>
      <c r="D76" s="4"/>
      <c r="E76" s="2"/>
      <c r="F76" s="9"/>
      <c r="H76" s="11"/>
      <c r="I76" s="11"/>
    </row>
    <row r="77" spans="2:9">
      <c r="B77" s="1"/>
      <c r="C77" s="2"/>
      <c r="D77" s="4"/>
      <c r="E77" s="2"/>
      <c r="F77" s="9"/>
      <c r="H77" s="11"/>
      <c r="I77" s="11"/>
    </row>
    <row r="78" spans="2:9">
      <c r="B78" s="1"/>
      <c r="C78" s="2"/>
      <c r="D78" s="4"/>
      <c r="E78" s="2"/>
      <c r="F78" s="9"/>
      <c r="H78" s="11"/>
      <c r="I78" s="11"/>
    </row>
    <row r="79" spans="2:9">
      <c r="B79" s="1"/>
      <c r="C79" s="3"/>
      <c r="D79" s="2"/>
    </row>
    <row r="80" spans="2:9">
      <c r="B80" s="1"/>
      <c r="D80" s="2"/>
    </row>
    <row r="81" spans="2:4">
      <c r="B81" s="1"/>
      <c r="D81" s="2"/>
    </row>
    <row r="82" spans="2:4">
      <c r="B82" s="1"/>
      <c r="D82" s="2"/>
    </row>
    <row r="83" spans="2:4">
      <c r="B83" s="1"/>
      <c r="D83" s="2"/>
    </row>
    <row r="84" spans="2:4">
      <c r="B84" s="1"/>
      <c r="D84" s="2"/>
    </row>
    <row r="85" spans="2:4">
      <c r="B85" s="1"/>
      <c r="D85" s="2"/>
    </row>
    <row r="86" spans="2:4">
      <c r="B86" s="1"/>
      <c r="D86" s="2"/>
    </row>
    <row r="87" spans="2:4">
      <c r="B87" s="1"/>
      <c r="D87" s="2"/>
    </row>
    <row r="88" spans="2:4">
      <c r="B88" s="1"/>
      <c r="D88" s="2"/>
    </row>
    <row r="89" spans="2:4">
      <c r="B89" s="1"/>
      <c r="D89" s="2"/>
    </row>
    <row r="90" spans="2:4">
      <c r="B90" s="1"/>
      <c r="D90" s="2"/>
    </row>
    <row r="91" spans="2:4">
      <c r="B91" s="1"/>
      <c r="D91" s="2"/>
    </row>
    <row r="92" spans="2:4">
      <c r="B92" s="1"/>
      <c r="D92" s="2"/>
    </row>
    <row r="93" spans="2:4">
      <c r="B93" s="1"/>
      <c r="D93" s="2"/>
    </row>
    <row r="94" spans="2:4">
      <c r="B94" s="1"/>
      <c r="D94" s="2"/>
    </row>
    <row r="95" spans="2:4">
      <c r="B95" s="1"/>
      <c r="D95" s="2"/>
    </row>
    <row r="96" spans="2:4">
      <c r="B96" s="1"/>
      <c r="D96" s="2"/>
    </row>
    <row r="97" spans="2:4">
      <c r="B97" s="1"/>
      <c r="D97" s="2"/>
    </row>
    <row r="98" spans="2:4">
      <c r="B98" s="1"/>
      <c r="D98" s="2"/>
    </row>
    <row r="99" spans="2:4">
      <c r="B99" s="1"/>
      <c r="D99" s="2"/>
    </row>
    <row r="100" spans="2:4">
      <c r="B100" s="1"/>
      <c r="D100" s="2"/>
    </row>
    <row r="101" spans="2:4">
      <c r="B101" s="1"/>
      <c r="D101" s="2"/>
    </row>
    <row r="102" spans="2:4">
      <c r="B102" s="1"/>
      <c r="D102" s="2"/>
    </row>
  </sheetData>
  <mergeCells count="2">
    <mergeCell ref="A1:E1"/>
    <mergeCell ref="H1:I1"/>
  </mergeCells>
  <phoneticPr fontId="3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등류</vt:lpstr>
    </vt:vector>
  </TitlesOfParts>
  <Company>내풍구조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김재민</dc:creator>
  <cp:lastModifiedBy>jaemin kim</cp:lastModifiedBy>
  <dcterms:created xsi:type="dcterms:W3CDTF">2011-01-21T10:07:58Z</dcterms:created>
  <dcterms:modified xsi:type="dcterms:W3CDTF">2024-11-12T04:24:00Z</dcterms:modified>
</cp:coreProperties>
</file>