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90" windowWidth="7455" windowHeight="4755"/>
  </bookViews>
  <sheets>
    <sheet name="등류" sheetId="1" r:id="rId1"/>
    <sheet name="result" sheetId="2" r:id="rId2"/>
  </sheets>
  <calcPr calcId="144525"/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G3" i="1" l="1"/>
  <c r="G4" i="1" s="1"/>
  <c r="I11" i="1" l="1"/>
  <c r="I15" i="1"/>
  <c r="I19" i="1"/>
  <c r="H12" i="1"/>
  <c r="H16" i="1"/>
  <c r="H20" i="1"/>
  <c r="I12" i="1"/>
  <c r="I16" i="1"/>
  <c r="I20" i="1"/>
  <c r="H13" i="1"/>
  <c r="H17" i="1"/>
  <c r="H21" i="1"/>
  <c r="I13" i="1"/>
  <c r="I17" i="1"/>
  <c r="I21" i="1"/>
  <c r="H10" i="1"/>
  <c r="H14" i="1"/>
  <c r="H18" i="1"/>
  <c r="H22" i="1"/>
  <c r="I10" i="1"/>
  <c r="I14" i="1"/>
  <c r="I18" i="1"/>
  <c r="I22" i="1"/>
  <c r="H11" i="1"/>
  <c r="H15" i="1"/>
  <c r="H19" i="1"/>
  <c r="H9" i="1"/>
  <c r="I9" i="1"/>
  <c r="H7" i="1"/>
  <c r="H5" i="1"/>
  <c r="H6" i="1"/>
  <c r="H8" i="1"/>
  <c r="H4" i="1"/>
  <c r="I3" i="1"/>
  <c r="I4" i="1"/>
  <c r="I6" i="1"/>
  <c r="I7" i="1"/>
  <c r="I8" i="1"/>
  <c r="I5" i="1"/>
  <c r="G5" i="1"/>
  <c r="H3" i="1"/>
</calcChain>
</file>

<file path=xl/sharedStrings.xml><?xml version="1.0" encoding="utf-8"?>
<sst xmlns="http://schemas.openxmlformats.org/spreadsheetml/2006/main" count="49" uniqueCount="46">
  <si>
    <t>실험rpm</t>
    <phoneticPr fontId="2" type="noConversion"/>
  </si>
  <si>
    <t>측정풍속(풍동)</t>
    <phoneticPr fontId="2" type="noConversion"/>
  </si>
  <si>
    <t>계산풍속(풍동)</t>
    <phoneticPr fontId="2" type="noConversion"/>
  </si>
  <si>
    <t>비고</t>
    <phoneticPr fontId="2" type="noConversion"/>
  </si>
  <si>
    <t>file</t>
    <phoneticPr fontId="2" type="noConversion"/>
  </si>
  <si>
    <t>D01</t>
    <phoneticPr fontId="2" type="noConversion"/>
  </si>
  <si>
    <t>D02</t>
    <phoneticPr fontId="2" type="noConversion"/>
  </si>
  <si>
    <t>D03</t>
  </si>
  <si>
    <t>D04</t>
  </si>
  <si>
    <t>D05</t>
  </si>
  <si>
    <t>기압(hPa)</t>
    <phoneticPr fontId="2" type="noConversion"/>
  </si>
  <si>
    <t>D06</t>
  </si>
  <si>
    <r>
      <t>기온(</t>
    </r>
    <r>
      <rPr>
        <sz val="10"/>
        <rFont val="새굴림"/>
        <family val="1"/>
        <charset val="129"/>
      </rPr>
      <t>˚C)</t>
    </r>
    <phoneticPr fontId="2" type="noConversion"/>
  </si>
  <si>
    <t>환산풍속</t>
    <phoneticPr fontId="2" type="noConversion"/>
  </si>
  <si>
    <t>기압2(mmHg)</t>
    <phoneticPr fontId="2" type="noConversion"/>
  </si>
  <si>
    <t>Scale</t>
    <phoneticPr fontId="2" type="noConversion"/>
  </si>
  <si>
    <t>연직 요구치(Hz)</t>
    <phoneticPr fontId="2" type="noConversion"/>
  </si>
  <si>
    <t>연직 실험치(Hz)</t>
    <phoneticPr fontId="2" type="noConversion"/>
  </si>
  <si>
    <t>비틀림 요구치(Hz)</t>
    <phoneticPr fontId="2" type="noConversion"/>
  </si>
  <si>
    <r>
      <t>공기밀도(kg</t>
    </r>
    <r>
      <rPr>
        <sz val="10"/>
        <rFont val="새굴림"/>
        <family val="1"/>
        <charset val="129"/>
      </rPr>
      <t>/m</t>
    </r>
    <r>
      <rPr>
        <vertAlign val="superscript"/>
        <sz val="10"/>
        <rFont val="새굴림"/>
        <family val="1"/>
        <charset val="129"/>
      </rPr>
      <t>3</t>
    </r>
    <r>
      <rPr>
        <sz val="10"/>
        <rFont val="새굴림"/>
        <family val="1"/>
        <charset val="129"/>
      </rPr>
      <t>)</t>
    </r>
    <r>
      <rPr>
        <sz val="11"/>
        <color theme="1"/>
        <rFont val="맑은 고딕"/>
        <family val="2"/>
        <charset val="129"/>
        <scheme val="minor"/>
      </rPr>
      <t/>
    </r>
    <phoneticPr fontId="2" type="noConversion"/>
  </si>
  <si>
    <r>
      <t>공기밀도(kg</t>
    </r>
    <r>
      <rPr>
        <sz val="10"/>
        <rFont val="MS PMincho"/>
        <family val="1"/>
        <charset val="128"/>
      </rPr>
      <t>・</t>
    </r>
    <r>
      <rPr>
        <sz val="10"/>
        <rFont val="새굴림"/>
        <family val="1"/>
        <charset val="129"/>
      </rPr>
      <t>s</t>
    </r>
    <r>
      <rPr>
        <vertAlign val="superscript"/>
        <sz val="10"/>
        <rFont val="새굴림"/>
        <family val="1"/>
        <charset val="129"/>
      </rPr>
      <t>2</t>
    </r>
    <r>
      <rPr>
        <sz val="10"/>
        <rFont val="새굴림"/>
        <family val="1"/>
        <charset val="129"/>
      </rPr>
      <t>/m</t>
    </r>
    <r>
      <rPr>
        <vertAlign val="superscript"/>
        <sz val="10"/>
        <rFont val="새굴림"/>
        <family val="1"/>
        <charset val="129"/>
      </rPr>
      <t>4</t>
    </r>
    <r>
      <rPr>
        <sz val="10"/>
        <rFont val="새굴림"/>
        <family val="1"/>
        <charset val="129"/>
      </rPr>
      <t>)</t>
    </r>
    <phoneticPr fontId="2" type="noConversion"/>
  </si>
  <si>
    <t>비틀림 실험치(Hz)</t>
    <phoneticPr fontId="2" type="noConversion"/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</si>
  <si>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</si>
  <si>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</si>
  <si>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</si>
  <si>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</si>
  <si>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</si>
  <si>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</si>
  <si>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</si>
  <si>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</si>
  <si>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</si>
  <si>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</si>
  <si>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</si>
  <si>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</si>
  <si>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</si>
  <si>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</si>
  <si>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연직</t>
    <phoneticPr fontId="2" type="noConversion"/>
  </si>
  <si>
    <t>비틀림</t>
    <phoneticPr fontId="2" type="noConversion"/>
  </si>
  <si>
    <t>hoason</t>
    <phoneticPr fontId="2" type="noConversion"/>
  </si>
  <si>
    <t>Bending</t>
    <phoneticPr fontId="2" type="noConversion"/>
  </si>
  <si>
    <t>Windspeed(m/s)</t>
    <phoneticPr fontId="2" type="noConversion"/>
  </si>
  <si>
    <t>RPM</t>
    <phoneticPr fontId="2" type="noConversion"/>
  </si>
  <si>
    <t>Mean(cm)</t>
    <phoneticPr fontId="2" type="noConversion"/>
  </si>
  <si>
    <t>RMS(cm)</t>
    <phoneticPr fontId="2" type="noConversion"/>
  </si>
  <si>
    <t>Peak(cm)</t>
    <phoneticPr fontId="2" type="noConversion"/>
  </si>
  <si>
    <t>Torsion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</si>
</sst>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.000_ "/>
    <numFmt numFmtId="177" formatCode="0.0000_ "/>
    <numFmt numFmtId="178" formatCode="0.00_ "/>
    <numFmt numFmtId="179" formatCode="#,##0_ "/>
  </numFmts>
  <fonts count="8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ＭＳ Ｐゴシック"/>
      <family val="2"/>
      <charset val="128"/>
    </font>
    <font>
      <sz val="10"/>
      <color indexed="8"/>
      <name val="새굴림"/>
      <family val="1"/>
      <charset val="129"/>
    </font>
    <font>
      <sz val="10"/>
      <name val="새굴림"/>
      <family val="1"/>
      <charset val="129"/>
    </font>
    <font>
      <sz val="10"/>
      <name val="MS PMincho"/>
      <family val="1"/>
      <charset val="128"/>
    </font>
    <font>
      <vertAlign val="superscript"/>
      <sz val="10"/>
      <name val="새굴림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8" fontId="4" fillId="2" borderId="1" xfId="1" applyNumberFormat="1" applyFont="1" applyFill="1" applyBorder="1" applyAlignment="1">
      <alignment horizontal="center" vertical="center"/>
    </xf>
    <xf numFmtId="178" fontId="4" fillId="0" borderId="1" xfId="1" applyNumberFormat="1" applyFont="1" applyFill="1" applyBorder="1" applyAlignment="1">
      <alignment horizontal="center" vertical="center"/>
    </xf>
    <xf numFmtId="176" fontId="5" fillId="0" borderId="0" xfId="2" applyNumberFormat="1" applyFont="1" applyBorder="1" applyAlignment="1">
      <alignment horizontal="center" vertical="center"/>
    </xf>
    <xf numFmtId="176" fontId="4" fillId="2" borderId="1" xfId="1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177" fontId="5" fillId="0" borderId="0" xfId="0" applyNumberFormat="1" applyFont="1" applyBorder="1" applyAlignment="1">
      <alignment horizontal="center"/>
    </xf>
    <xf numFmtId="0" fontId="5" fillId="0" borderId="0" xfId="0" applyFont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8" fontId="4" fillId="3" borderId="1" xfId="1" applyNumberFormat="1" applyFon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7" fontId="4" fillId="3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178" fontId="4" fillId="0" borderId="1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0" borderId="18" xfId="0" applyNumberFormat="1" applyBorder="1" applyAlignment="1">
      <alignment horizontal="center" vertical="center"/>
    </xf>
    <xf numFmtId="176" fontId="0" fillId="0" borderId="14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3">
    <cellStyle name="표준" xfId="0" builtinId="0"/>
    <cellStyle name="標準_0deg架設系" xfId="1"/>
    <cellStyle name="標準_0deg架設系_고군산2공구 단면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206185567010321"/>
          <c:y val="9.1872950034766393E-2"/>
          <c:w val="0.73608247422680462"/>
          <c:h val="0.7455843252821424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16546912749226575"/>
                  <c:y val="-1.881590304567634E-2"/>
                </c:manualLayout>
              </c:layout>
              <c:numFmt formatCode="#,##0.00000_);\(#,##0.00000\)" sourceLinked="0"/>
            </c:trendlineLbl>
          </c:trendline>
          <c:xVal>
            <c:numRef>
              <c:f>등류!$B$3:$B$100</c:f>
              <c:numCache>
                <c:formatCode>General</c:formatCode>
                <c:ptCount val="98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등류!$C$3:$C$100</c:f>
              <c:numCache>
                <c:formatCode>0.000_ </c:formatCode>
                <c:ptCount val="98"/>
                <c:pt idx="0">
                  <c:v>5.5327076000000003E-2</c:v>
                </c:pt>
                <c:pt idx="1">
                  <c:v>0.17340641000000001</c:v>
                </c:pt>
                <c:pt idx="2">
                  <c:v>0.34907451</c:v>
                </c:pt>
                <c:pt idx="3">
                  <c:v>0.42670267000000001</c:v>
                </c:pt>
                <c:pt idx="4">
                  <c:v>0.51928207000000004</c:v>
                </c:pt>
                <c:pt idx="5">
                  <c:v>0.60656065999999997</c:v>
                </c:pt>
                <c:pt idx="6">
                  <c:v>0.68876713000000001</c:v>
                </c:pt>
                <c:pt idx="7">
                  <c:v>0.77962133</c:v>
                </c:pt>
                <c:pt idx="8">
                  <c:v>0.87015975000000001</c:v>
                </c:pt>
                <c:pt idx="9">
                  <c:v>0.95778467</c:v>
                </c:pt>
                <c:pt idx="10">
                  <c:v>1.044419</c:v>
                </c:pt>
                <c:pt idx="11">
                  <c:v>1.2266748000000001</c:v>
                </c:pt>
                <c:pt idx="12">
                  <c:v>1.4005078</c:v>
                </c:pt>
                <c:pt idx="13">
                  <c:v>1.6013818</c:v>
                </c:pt>
                <c:pt idx="14">
                  <c:v>1.7754970000000001</c:v>
                </c:pt>
                <c:pt idx="15">
                  <c:v>1.9577742</c:v>
                </c:pt>
                <c:pt idx="16">
                  <c:v>2.1527641000000002</c:v>
                </c:pt>
                <c:pt idx="17">
                  <c:v>2.2442593999999998</c:v>
                </c:pt>
                <c:pt idx="18">
                  <c:v>2.3357380000000001</c:v>
                </c:pt>
                <c:pt idx="19">
                  <c:v>2.5166433000000001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61344"/>
        <c:axId val="205761920"/>
      </c:scatterChart>
      <c:valAx>
        <c:axId val="2057613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05761920"/>
        <c:crossesAt val="-100"/>
        <c:crossBetween val="midCat"/>
      </c:valAx>
      <c:valAx>
        <c:axId val="205761920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.000_ 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20576134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101" r="0.7500000000000101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Bending(RPM)</a:t>
            </a:r>
            <a:endParaRPr lang="ko-KR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result!$C$3:$C$22</c:f>
              <c:numCache>
                <c:formatCode>0.000_ </c:formatCode>
                <c:ptCount val="20"/>
                <c:pt idx="0">
                  <c:v>9.1136249999999993E-5</c:v>
                </c:pt>
                <c:pt idx="1">
                  <c:v>-2.99625E-5</c:v>
                </c:pt>
                <c:pt idx="2">
                  <c:v>1.3670624999999999E-5</c:v>
                </c:pt>
                <c:pt idx="3">
                  <c:v>-8.4922069000000003E-3</c:v>
                </c:pt>
                <c:pt idx="4">
                  <c:v>-7.6226849999999997E-3</c:v>
                </c:pt>
                <c:pt idx="5">
                  <c:v>-7.1016862000000004E-3</c:v>
                </c:pt>
                <c:pt idx="6">
                  <c:v>-2.8078274999999999E-3</c:v>
                </c:pt>
                <c:pt idx="7">
                  <c:v>-2.1284249999999999E-4</c:v>
                </c:pt>
                <c:pt idx="8">
                  <c:v>8.0147944000000006E-3</c:v>
                </c:pt>
                <c:pt idx="9">
                  <c:v>5.9131425000000003E-3</c:v>
                </c:pt>
                <c:pt idx="10">
                  <c:v>1.2368697999999999E-2</c:v>
                </c:pt>
                <c:pt idx="11">
                  <c:v>2.1265967E-2</c:v>
                </c:pt>
                <c:pt idx="12">
                  <c:v>2.7100263999999999E-2</c:v>
                </c:pt>
                <c:pt idx="13">
                  <c:v>2.6970810000000001E-2</c:v>
                </c:pt>
                <c:pt idx="14">
                  <c:v>1.5619137999999999E-2</c:v>
                </c:pt>
                <c:pt idx="15">
                  <c:v>1.8219951000000002E-2</c:v>
                </c:pt>
                <c:pt idx="16">
                  <c:v>9.6347119000000005E-3</c:v>
                </c:pt>
                <c:pt idx="17">
                  <c:v>2.1285906E-2</c:v>
                </c:pt>
                <c:pt idx="18">
                  <c:v>2.759052E-2</c:v>
                </c:pt>
                <c:pt idx="19">
                  <c:v>0.16477512</c:v>
                </c:pt>
              </c:numCache>
            </c:numRef>
          </c:yVal>
          <c:smooth val="1"/>
        </c:ser>
        <c:ser>
          <c:idx val="1"/>
          <c:order val="1"/>
          <c:tx>
            <c:v>RMS</c:v>
          </c:tx>
          <c:spPr>
            <a:ln w="12700">
              <a:solidFill>
                <a:srgbClr val="0070C0"/>
              </a:solidFill>
            </a:ln>
          </c:spPr>
          <c:marker>
            <c:symbol val="square"/>
            <c:size val="10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result!$D$3:$D$22</c:f>
              <c:numCache>
                <c:formatCode>0.000_ </c:formatCode>
                <c:ptCount val="20"/>
                <c:pt idx="0">
                  <c:v>1.1193541E-2</c:v>
                </c:pt>
                <c:pt idx="1">
                  <c:v>1.1183669E-2</c:v>
                </c:pt>
                <c:pt idx="2">
                  <c:v>1.1370019E-2</c:v>
                </c:pt>
                <c:pt idx="3">
                  <c:v>0.17661792000000001</c:v>
                </c:pt>
                <c:pt idx="4">
                  <c:v>0.29082523999999998</c:v>
                </c:pt>
                <c:pt idx="5">
                  <c:v>6.2013319999999997E-2</c:v>
                </c:pt>
                <c:pt idx="6">
                  <c:v>7.4794582999999998E-2</c:v>
                </c:pt>
                <c:pt idx="7">
                  <c:v>1.6358554000000001E-2</c:v>
                </c:pt>
                <c:pt idx="8">
                  <c:v>1.6962926999999999E-2</c:v>
                </c:pt>
                <c:pt idx="9">
                  <c:v>2.0881226999999999E-2</c:v>
                </c:pt>
                <c:pt idx="10">
                  <c:v>7.5376807000000004E-2</c:v>
                </c:pt>
                <c:pt idx="11">
                  <c:v>0.10890477</c:v>
                </c:pt>
                <c:pt idx="12">
                  <c:v>0.12772258</c:v>
                </c:pt>
                <c:pt idx="13">
                  <c:v>0.13593664</c:v>
                </c:pt>
                <c:pt idx="14">
                  <c:v>9.4248399999999996E-2</c:v>
                </c:pt>
                <c:pt idx="15">
                  <c:v>7.4966242000000002E-2</c:v>
                </c:pt>
                <c:pt idx="16">
                  <c:v>0.1009833</c:v>
                </c:pt>
                <c:pt idx="17">
                  <c:v>0.11201513</c:v>
                </c:pt>
                <c:pt idx="18">
                  <c:v>0.10055419</c:v>
                </c:pt>
                <c:pt idx="19">
                  <c:v>0.35752656999999999</c:v>
                </c:pt>
              </c:numCache>
            </c:numRef>
          </c:yVal>
          <c:smooth val="1"/>
        </c:ser>
        <c:ser>
          <c:idx val="2"/>
          <c:order val="2"/>
          <c:tx>
            <c:v>Peak</c:v>
          </c:tx>
          <c:spPr>
            <a:ln w="12700">
              <a:solidFill>
                <a:srgbClr val="FF0000"/>
              </a:solidFill>
            </a:ln>
          </c:spPr>
          <c:marker>
            <c:symbol val="triang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result!$E$3:$E$22</c:f>
              <c:numCache>
                <c:formatCode>0.000_ </c:formatCode>
                <c:ptCount val="20"/>
                <c:pt idx="0">
                  <c:v>3.3761406000000001E-2</c:v>
                </c:pt>
                <c:pt idx="1">
                  <c:v>3.2546004000000003E-2</c:v>
                </c:pt>
                <c:pt idx="2">
                  <c:v>3.5161870999999997E-2</c:v>
                </c:pt>
                <c:pt idx="3">
                  <c:v>0.28646525</c:v>
                </c:pt>
                <c:pt idx="4">
                  <c:v>0.45521676999999999</c:v>
                </c:pt>
                <c:pt idx="5">
                  <c:v>0.14280777</c:v>
                </c:pt>
                <c:pt idx="6">
                  <c:v>0.14665613</c:v>
                </c:pt>
                <c:pt idx="7">
                  <c:v>6.5807615999999999E-2</c:v>
                </c:pt>
                <c:pt idx="8">
                  <c:v>6.0451747E-2</c:v>
                </c:pt>
                <c:pt idx="9">
                  <c:v>6.8828601000000003E-2</c:v>
                </c:pt>
                <c:pt idx="10">
                  <c:v>0.17240034000000001</c:v>
                </c:pt>
                <c:pt idx="11">
                  <c:v>0.22075658000000001</c:v>
                </c:pt>
                <c:pt idx="12">
                  <c:v>0.31595171999999999</c:v>
                </c:pt>
                <c:pt idx="13">
                  <c:v>0.28517072999999998</c:v>
                </c:pt>
                <c:pt idx="14">
                  <c:v>0.27560760000000001</c:v>
                </c:pt>
                <c:pt idx="15">
                  <c:v>0.23026990999999999</c:v>
                </c:pt>
                <c:pt idx="16">
                  <c:v>0.30735567000000003</c:v>
                </c:pt>
                <c:pt idx="17">
                  <c:v>0.35317535999999999</c:v>
                </c:pt>
                <c:pt idx="18">
                  <c:v>0.32176097999999997</c:v>
                </c:pt>
                <c:pt idx="19">
                  <c:v>0.68443692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42592"/>
        <c:axId val="195942016"/>
      </c:scatterChart>
      <c:valAx>
        <c:axId val="1959425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altLang="ko-KR" sz="1600"/>
                  <a:t>RPM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0.47638085012100762"/>
              <c:y val="0.892618149774821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95942016"/>
        <c:crossesAt val="-100"/>
        <c:crossBetween val="midCat"/>
      </c:valAx>
      <c:valAx>
        <c:axId val="195942016"/>
        <c:scaling>
          <c:orientation val="minMax"/>
          <c:max val="1"/>
          <c:min val="-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altLang="ko-KR" sz="1600"/>
                  <a:t>Displacement(cm)</a:t>
                </a:r>
                <a:endParaRPr lang="ko-KR" altLang="en-US" sz="1600"/>
              </a:p>
            </c:rich>
          </c:tx>
          <c:layout/>
          <c:overlay val="0"/>
        </c:title>
        <c:numFmt formatCode="0.0_ " sourceLinked="0"/>
        <c:majorTickMark val="out"/>
        <c:minorTickMark val="none"/>
        <c:tickLblPos val="nextTo"/>
        <c:crossAx val="195942592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533408323959505"/>
          <c:y val="0.16276128052328778"/>
          <c:w val="0.15297222222222223"/>
          <c:h val="0.19105007779486291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Bending(windspeed)</a:t>
            </a:r>
            <a:endParaRPr lang="ko-KR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result!$C$3:$C$22</c:f>
              <c:numCache>
                <c:formatCode>0.000_ </c:formatCode>
                <c:ptCount val="20"/>
                <c:pt idx="0">
                  <c:v>9.1136249999999993E-5</c:v>
                </c:pt>
                <c:pt idx="1">
                  <c:v>-2.99625E-5</c:v>
                </c:pt>
                <c:pt idx="2">
                  <c:v>1.3670624999999999E-5</c:v>
                </c:pt>
                <c:pt idx="3">
                  <c:v>-8.4922069000000003E-3</c:v>
                </c:pt>
                <c:pt idx="4">
                  <c:v>-7.6226849999999997E-3</c:v>
                </c:pt>
                <c:pt idx="5">
                  <c:v>-7.1016862000000004E-3</c:v>
                </c:pt>
                <c:pt idx="6">
                  <c:v>-2.8078274999999999E-3</c:v>
                </c:pt>
                <c:pt idx="7">
                  <c:v>-2.1284249999999999E-4</c:v>
                </c:pt>
                <c:pt idx="8">
                  <c:v>8.0147944000000006E-3</c:v>
                </c:pt>
                <c:pt idx="9">
                  <c:v>5.9131425000000003E-3</c:v>
                </c:pt>
                <c:pt idx="10">
                  <c:v>1.2368697999999999E-2</c:v>
                </c:pt>
                <c:pt idx="11">
                  <c:v>2.1265967E-2</c:v>
                </c:pt>
                <c:pt idx="12">
                  <c:v>2.7100263999999999E-2</c:v>
                </c:pt>
                <c:pt idx="13">
                  <c:v>2.6970810000000001E-2</c:v>
                </c:pt>
                <c:pt idx="14">
                  <c:v>1.5619137999999999E-2</c:v>
                </c:pt>
                <c:pt idx="15">
                  <c:v>1.8219951000000002E-2</c:v>
                </c:pt>
                <c:pt idx="16">
                  <c:v>9.6347119000000005E-3</c:v>
                </c:pt>
                <c:pt idx="17">
                  <c:v>2.1285906E-2</c:v>
                </c:pt>
                <c:pt idx="18">
                  <c:v>2.759052E-2</c:v>
                </c:pt>
                <c:pt idx="19">
                  <c:v>0.16477512</c:v>
                </c:pt>
              </c:numCache>
            </c:numRef>
          </c:yVal>
          <c:smooth val="1"/>
        </c:ser>
        <c:ser>
          <c:idx val="1"/>
          <c:order val="1"/>
          <c:tx>
            <c:v>RMS</c:v>
          </c:tx>
          <c:spPr>
            <a:ln w="12700">
              <a:solidFill>
                <a:srgbClr val="0070C0"/>
              </a:solidFill>
            </a:ln>
          </c:spPr>
          <c:marker>
            <c:symbol val="square"/>
            <c:size val="10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result!$D$3:$D$22</c:f>
              <c:numCache>
                <c:formatCode>0.000_ </c:formatCode>
                <c:ptCount val="20"/>
                <c:pt idx="0">
                  <c:v>1.1193541E-2</c:v>
                </c:pt>
                <c:pt idx="1">
                  <c:v>1.1183669E-2</c:v>
                </c:pt>
                <c:pt idx="2">
                  <c:v>1.1370019E-2</c:v>
                </c:pt>
                <c:pt idx="3">
                  <c:v>0.17661792000000001</c:v>
                </c:pt>
                <c:pt idx="4">
                  <c:v>0.29082523999999998</c:v>
                </c:pt>
                <c:pt idx="5">
                  <c:v>6.2013319999999997E-2</c:v>
                </c:pt>
                <c:pt idx="6">
                  <c:v>7.4794582999999998E-2</c:v>
                </c:pt>
                <c:pt idx="7">
                  <c:v>1.6358554000000001E-2</c:v>
                </c:pt>
                <c:pt idx="8">
                  <c:v>1.6962926999999999E-2</c:v>
                </c:pt>
                <c:pt idx="9">
                  <c:v>2.0881226999999999E-2</c:v>
                </c:pt>
                <c:pt idx="10">
                  <c:v>7.5376807000000004E-2</c:v>
                </c:pt>
                <c:pt idx="11">
                  <c:v>0.10890477</c:v>
                </c:pt>
                <c:pt idx="12">
                  <c:v>0.12772258</c:v>
                </c:pt>
                <c:pt idx="13">
                  <c:v>0.13593664</c:v>
                </c:pt>
                <c:pt idx="14">
                  <c:v>9.4248399999999996E-2</c:v>
                </c:pt>
                <c:pt idx="15">
                  <c:v>7.4966242000000002E-2</c:v>
                </c:pt>
                <c:pt idx="16">
                  <c:v>0.1009833</c:v>
                </c:pt>
                <c:pt idx="17">
                  <c:v>0.11201513</c:v>
                </c:pt>
                <c:pt idx="18">
                  <c:v>0.10055419</c:v>
                </c:pt>
                <c:pt idx="19">
                  <c:v>0.35752656999999999</c:v>
                </c:pt>
              </c:numCache>
            </c:numRef>
          </c:yVal>
          <c:smooth val="1"/>
        </c:ser>
        <c:ser>
          <c:idx val="2"/>
          <c:order val="2"/>
          <c:tx>
            <c:v>Peak</c:v>
          </c:tx>
          <c:spPr>
            <a:ln w="12700">
              <a:solidFill>
                <a:srgbClr val="FF0000"/>
              </a:solidFill>
            </a:ln>
          </c:spPr>
          <c:marker>
            <c:symbol val="triang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result!$E$3:$E$22</c:f>
              <c:numCache>
                <c:formatCode>0.000_ </c:formatCode>
                <c:ptCount val="20"/>
                <c:pt idx="0">
                  <c:v>3.3761406000000001E-2</c:v>
                </c:pt>
                <c:pt idx="1">
                  <c:v>3.2546004000000003E-2</c:v>
                </c:pt>
                <c:pt idx="2">
                  <c:v>3.5161870999999997E-2</c:v>
                </c:pt>
                <c:pt idx="3">
                  <c:v>0.28646525</c:v>
                </c:pt>
                <c:pt idx="4">
                  <c:v>0.45521676999999999</c:v>
                </c:pt>
                <c:pt idx="5">
                  <c:v>0.14280777</c:v>
                </c:pt>
                <c:pt idx="6">
                  <c:v>0.14665613</c:v>
                </c:pt>
                <c:pt idx="7">
                  <c:v>6.5807615999999999E-2</c:v>
                </c:pt>
                <c:pt idx="8">
                  <c:v>6.0451747E-2</c:v>
                </c:pt>
                <c:pt idx="9">
                  <c:v>6.8828601000000003E-2</c:v>
                </c:pt>
                <c:pt idx="10">
                  <c:v>0.17240034000000001</c:v>
                </c:pt>
                <c:pt idx="11">
                  <c:v>0.22075658000000001</c:v>
                </c:pt>
                <c:pt idx="12">
                  <c:v>0.31595171999999999</c:v>
                </c:pt>
                <c:pt idx="13">
                  <c:v>0.28517072999999998</c:v>
                </c:pt>
                <c:pt idx="14">
                  <c:v>0.27560760000000001</c:v>
                </c:pt>
                <c:pt idx="15">
                  <c:v>0.23026990999999999</c:v>
                </c:pt>
                <c:pt idx="16">
                  <c:v>0.30735567000000003</c:v>
                </c:pt>
                <c:pt idx="17">
                  <c:v>0.35317535999999999</c:v>
                </c:pt>
                <c:pt idx="18">
                  <c:v>0.32176097999999997</c:v>
                </c:pt>
                <c:pt idx="19">
                  <c:v>0.68443692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37248"/>
        <c:axId val="141638976"/>
      </c:scatterChart>
      <c:valAx>
        <c:axId val="141637248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altLang="ko-KR" sz="1600"/>
                  <a:t>windspeed(m/s)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0.39955176057538261"/>
              <c:y val="0.88580674157785455"/>
            </c:manualLayout>
          </c:layout>
          <c:overlay val="0"/>
        </c:title>
        <c:numFmt formatCode="0_ " sourceLinked="0"/>
        <c:majorTickMark val="out"/>
        <c:minorTickMark val="none"/>
        <c:tickLblPos val="nextTo"/>
        <c:crossAx val="141638976"/>
        <c:crossesAt val="-100"/>
        <c:crossBetween val="midCat"/>
      </c:valAx>
      <c:valAx>
        <c:axId val="141638976"/>
        <c:scaling>
          <c:orientation val="minMax"/>
          <c:max val="1"/>
          <c:min val="-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altLang="ko-KR" sz="1600"/>
                  <a:t>Displacement(cm)</a:t>
                </a:r>
                <a:endParaRPr lang="ko-KR" altLang="en-US" sz="1600"/>
              </a:p>
            </c:rich>
          </c:tx>
          <c:layout/>
          <c:overlay val="0"/>
        </c:title>
        <c:numFmt formatCode="0.0_ " sourceLinked="0"/>
        <c:majorTickMark val="out"/>
        <c:minorTickMark val="none"/>
        <c:tickLblPos val="nextTo"/>
        <c:crossAx val="141637248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533408323959505"/>
          <c:y val="0.16276128052328778"/>
          <c:w val="0.15297222222222223"/>
          <c:h val="0.19105007779486291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/>
              <a:t>Torsion(RPM)</a:t>
            </a:r>
            <a:endParaRPr lang="ko-KR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result!$F$3:$F$22</c:f>
              <c:numCache>
                <c:formatCode>0.000_ </c:formatCode>
                <c:ptCount val="20"/>
                <c:pt idx="0">
                  <c:v>6.0173076999999999E-5</c:v>
                </c:pt>
                <c:pt idx="1">
                  <c:v>-5.9382114999999996E-4</c:v>
                </c:pt>
                <c:pt idx="2">
                  <c:v>-5.4833653999999997E-5</c:v>
                </c:pt>
                <c:pt idx="3">
                  <c:v>4.451974E-3</c:v>
                </c:pt>
                <c:pt idx="4">
                  <c:v>1.0410242E-2</c:v>
                </c:pt>
                <c:pt idx="5">
                  <c:v>6.6654807999999999E-3</c:v>
                </c:pt>
                <c:pt idx="6">
                  <c:v>7.5052788E-3</c:v>
                </c:pt>
                <c:pt idx="7">
                  <c:v>5.4895441999999999E-3</c:v>
                </c:pt>
                <c:pt idx="8">
                  <c:v>3.7474875E-3</c:v>
                </c:pt>
                <c:pt idx="9">
                  <c:v>6.0692999999999997E-3</c:v>
                </c:pt>
                <c:pt idx="10">
                  <c:v>4.5560567E-3</c:v>
                </c:pt>
                <c:pt idx="11">
                  <c:v>1.4946778999999999E-3</c:v>
                </c:pt>
                <c:pt idx="12">
                  <c:v>-2.5580654000000001E-3</c:v>
                </c:pt>
                <c:pt idx="13">
                  <c:v>-2.5083980999999998E-3</c:v>
                </c:pt>
                <c:pt idx="14">
                  <c:v>7.2498201999999998E-3</c:v>
                </c:pt>
                <c:pt idx="15">
                  <c:v>3.4582298E-3</c:v>
                </c:pt>
                <c:pt idx="16">
                  <c:v>1.6513413000000001E-3</c:v>
                </c:pt>
                <c:pt idx="17">
                  <c:v>1.5152913000000001E-3</c:v>
                </c:pt>
                <c:pt idx="18">
                  <c:v>5.9232807999999998E-3</c:v>
                </c:pt>
                <c:pt idx="19">
                  <c:v>1.4394479E-2</c:v>
                </c:pt>
              </c:numCache>
            </c:numRef>
          </c:yVal>
          <c:smooth val="1"/>
        </c:ser>
        <c:ser>
          <c:idx val="1"/>
          <c:order val="1"/>
          <c:tx>
            <c:v>RMS</c:v>
          </c:tx>
          <c:spPr>
            <a:ln w="12700">
              <a:solidFill>
                <a:srgbClr val="0070C0"/>
              </a:solidFill>
            </a:ln>
          </c:spPr>
          <c:marker>
            <c:symbol val="square"/>
            <c:size val="10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result!$G$3:$G$22</c:f>
              <c:numCache>
                <c:formatCode>0.000_ </c:formatCode>
                <c:ptCount val="20"/>
                <c:pt idx="0">
                  <c:v>1.328465E-2</c:v>
                </c:pt>
                <c:pt idx="1">
                  <c:v>1.3349652E-2</c:v>
                </c:pt>
                <c:pt idx="2">
                  <c:v>1.3508640000000001E-2</c:v>
                </c:pt>
                <c:pt idx="3">
                  <c:v>1.4549055E-2</c:v>
                </c:pt>
                <c:pt idx="4">
                  <c:v>1.5368616999999999E-2</c:v>
                </c:pt>
                <c:pt idx="5">
                  <c:v>0.10235964</c:v>
                </c:pt>
                <c:pt idx="6">
                  <c:v>0.11248342</c:v>
                </c:pt>
                <c:pt idx="7">
                  <c:v>1.6139437999999999E-2</c:v>
                </c:pt>
                <c:pt idx="8">
                  <c:v>1.3518990999999999E-2</c:v>
                </c:pt>
                <c:pt idx="9">
                  <c:v>1.7544247999999998E-2</c:v>
                </c:pt>
                <c:pt idx="10">
                  <c:v>0.10644066000000001</c:v>
                </c:pt>
                <c:pt idx="11">
                  <c:v>0.15734195000000001</c:v>
                </c:pt>
                <c:pt idx="12">
                  <c:v>0.20540939999999999</c:v>
                </c:pt>
                <c:pt idx="13">
                  <c:v>0.21752218000000001</c:v>
                </c:pt>
                <c:pt idx="14">
                  <c:v>0.13222563000000001</c:v>
                </c:pt>
                <c:pt idx="15">
                  <c:v>2.1046974999999999E-2</c:v>
                </c:pt>
                <c:pt idx="16">
                  <c:v>2.3934090000000002E-2</c:v>
                </c:pt>
                <c:pt idx="17">
                  <c:v>2.0685731999999998E-2</c:v>
                </c:pt>
                <c:pt idx="18">
                  <c:v>5.5421133999999997E-2</c:v>
                </c:pt>
                <c:pt idx="19">
                  <c:v>0.86837262000000004</c:v>
                </c:pt>
              </c:numCache>
            </c:numRef>
          </c:yVal>
          <c:smooth val="1"/>
        </c:ser>
        <c:ser>
          <c:idx val="2"/>
          <c:order val="2"/>
          <c:tx>
            <c:v>Peak</c:v>
          </c:tx>
          <c:spPr>
            <a:ln w="12700">
              <a:solidFill>
                <a:srgbClr val="FF0000"/>
              </a:solidFill>
            </a:ln>
          </c:spPr>
          <c:marker>
            <c:symbol val="triang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result!$A$3:$A$22</c:f>
              <c:numCache>
                <c:formatCode>General</c:formatCode>
                <c:ptCount val="20"/>
                <c:pt idx="0">
                  <c:v>20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140</c:v>
                </c:pt>
                <c:pt idx="11">
                  <c:v>160</c:v>
                </c:pt>
                <c:pt idx="12">
                  <c:v>180</c:v>
                </c:pt>
                <c:pt idx="13">
                  <c:v>200</c:v>
                </c:pt>
                <c:pt idx="14">
                  <c:v>220</c:v>
                </c:pt>
                <c:pt idx="15">
                  <c:v>240</c:v>
                </c:pt>
                <c:pt idx="16">
                  <c:v>260</c:v>
                </c:pt>
                <c:pt idx="17">
                  <c:v>280</c:v>
                </c:pt>
                <c:pt idx="18">
                  <c:v>300</c:v>
                </c:pt>
                <c:pt idx="19">
                  <c:v>320</c:v>
                </c:pt>
              </c:numCache>
            </c:numRef>
          </c:xVal>
          <c:yVal>
            <c:numRef>
              <c:f>result!$H$3:$H$22</c:f>
              <c:numCache>
                <c:formatCode>0.000_ </c:formatCode>
                <c:ptCount val="20"/>
                <c:pt idx="0">
                  <c:v>6.9130733999999999E-2</c:v>
                </c:pt>
                <c:pt idx="1">
                  <c:v>6.0625272000000001E-2</c:v>
                </c:pt>
                <c:pt idx="2">
                  <c:v>5.5600355999999997E-2</c:v>
                </c:pt>
                <c:pt idx="3">
                  <c:v>6.6377221E-2</c:v>
                </c:pt>
                <c:pt idx="4">
                  <c:v>6.4817027999999999E-2</c:v>
                </c:pt>
                <c:pt idx="5">
                  <c:v>0.20377765</c:v>
                </c:pt>
                <c:pt idx="6">
                  <c:v>0.19846976</c:v>
                </c:pt>
                <c:pt idx="7">
                  <c:v>6.1267098999999998E-2</c:v>
                </c:pt>
                <c:pt idx="8">
                  <c:v>5.3833419E-2</c:v>
                </c:pt>
                <c:pt idx="9">
                  <c:v>8.2250067999999996E-2</c:v>
                </c:pt>
                <c:pt idx="10">
                  <c:v>0.19826207000000001</c:v>
                </c:pt>
                <c:pt idx="11">
                  <c:v>0.28874530999999998</c:v>
                </c:pt>
                <c:pt idx="12">
                  <c:v>0.35844409999999999</c:v>
                </c:pt>
                <c:pt idx="13">
                  <c:v>0.34280007000000001</c:v>
                </c:pt>
                <c:pt idx="14">
                  <c:v>0.29109429999999997</c:v>
                </c:pt>
                <c:pt idx="15">
                  <c:v>8.6231907999999996E-2</c:v>
                </c:pt>
                <c:pt idx="16">
                  <c:v>8.5297258000000001E-2</c:v>
                </c:pt>
                <c:pt idx="17">
                  <c:v>8.8174846000000001E-2</c:v>
                </c:pt>
                <c:pt idx="18">
                  <c:v>0.16229531999999999</c:v>
                </c:pt>
                <c:pt idx="19">
                  <c:v>1.2873672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19936"/>
        <c:axId val="140920512"/>
      </c:scatterChart>
      <c:valAx>
        <c:axId val="1409199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altLang="ko-KR" sz="1600"/>
                  <a:t>RPM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0.47638085012100762"/>
              <c:y val="0.8926181497748211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40920512"/>
        <c:crossesAt val="-100"/>
        <c:crossBetween val="midCat"/>
      </c:valAx>
      <c:valAx>
        <c:axId val="140920512"/>
        <c:scaling>
          <c:orientation val="minMax"/>
          <c:max val="1"/>
          <c:min val="-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altLang="ko-KR" sz="1600"/>
                  <a:t>Displacement(cm)</a:t>
                </a:r>
                <a:endParaRPr lang="ko-KR" altLang="en-US" sz="1600"/>
              </a:p>
            </c:rich>
          </c:tx>
          <c:layout/>
          <c:overlay val="0"/>
        </c:title>
        <c:numFmt formatCode="0.0_ " sourceLinked="0"/>
        <c:majorTickMark val="out"/>
        <c:minorTickMark val="none"/>
        <c:tickLblPos val="nextTo"/>
        <c:crossAx val="140919936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533408323959505"/>
          <c:y val="0.16276128052328778"/>
          <c:w val="0.15297222222222223"/>
          <c:h val="0.19105007779486291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ko-KR" sz="1800" b="1" i="0" u="none" strike="noStrike" baseline="0">
                <a:effectLst/>
              </a:rPr>
              <a:t>Torsion</a:t>
            </a:r>
            <a:r>
              <a:rPr lang="en-US" altLang="ko-KR"/>
              <a:t>(windspeed)</a:t>
            </a:r>
            <a:endParaRPr lang="ko-KR" alt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Mean</c:v>
          </c:tx>
          <c:spPr>
            <a:ln w="12700">
              <a:solidFill>
                <a:schemeClr val="tx1"/>
              </a:solidFill>
            </a:ln>
          </c:spPr>
          <c:marker>
            <c:symbol val="circle"/>
            <c:size val="10"/>
            <c:spPr>
              <a:noFill/>
              <a:ln>
                <a:solidFill>
                  <a:schemeClr val="tx1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result!$F$3:$F$22</c:f>
              <c:numCache>
                <c:formatCode>0.000_ </c:formatCode>
                <c:ptCount val="20"/>
                <c:pt idx="0">
                  <c:v>6.0173076999999999E-5</c:v>
                </c:pt>
                <c:pt idx="1">
                  <c:v>-5.9382114999999996E-4</c:v>
                </c:pt>
                <c:pt idx="2">
                  <c:v>-5.4833653999999997E-5</c:v>
                </c:pt>
                <c:pt idx="3">
                  <c:v>4.451974E-3</c:v>
                </c:pt>
                <c:pt idx="4">
                  <c:v>1.0410242E-2</c:v>
                </c:pt>
                <c:pt idx="5">
                  <c:v>6.6654807999999999E-3</c:v>
                </c:pt>
                <c:pt idx="6">
                  <c:v>7.5052788E-3</c:v>
                </c:pt>
                <c:pt idx="7">
                  <c:v>5.4895441999999999E-3</c:v>
                </c:pt>
                <c:pt idx="8">
                  <c:v>3.7474875E-3</c:v>
                </c:pt>
                <c:pt idx="9">
                  <c:v>6.0692999999999997E-3</c:v>
                </c:pt>
                <c:pt idx="10">
                  <c:v>4.5560567E-3</c:v>
                </c:pt>
                <c:pt idx="11">
                  <c:v>1.4946778999999999E-3</c:v>
                </c:pt>
                <c:pt idx="12">
                  <c:v>-2.5580654000000001E-3</c:v>
                </c:pt>
                <c:pt idx="13">
                  <c:v>-2.5083980999999998E-3</c:v>
                </c:pt>
                <c:pt idx="14">
                  <c:v>7.2498201999999998E-3</c:v>
                </c:pt>
                <c:pt idx="15">
                  <c:v>3.4582298E-3</c:v>
                </c:pt>
                <c:pt idx="16">
                  <c:v>1.6513413000000001E-3</c:v>
                </c:pt>
                <c:pt idx="17">
                  <c:v>1.5152913000000001E-3</c:v>
                </c:pt>
                <c:pt idx="18">
                  <c:v>5.9232807999999998E-3</c:v>
                </c:pt>
                <c:pt idx="19">
                  <c:v>1.4394479E-2</c:v>
                </c:pt>
              </c:numCache>
            </c:numRef>
          </c:yVal>
          <c:smooth val="1"/>
        </c:ser>
        <c:ser>
          <c:idx val="1"/>
          <c:order val="1"/>
          <c:tx>
            <c:v>RMS</c:v>
          </c:tx>
          <c:spPr>
            <a:ln w="12700">
              <a:solidFill>
                <a:srgbClr val="0070C0"/>
              </a:solidFill>
            </a:ln>
          </c:spPr>
          <c:marker>
            <c:symbol val="square"/>
            <c:size val="10"/>
            <c:spPr>
              <a:noFill/>
              <a:ln>
                <a:solidFill>
                  <a:srgbClr val="0070C0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result!$G$3:$G$22</c:f>
              <c:numCache>
                <c:formatCode>0.000_ </c:formatCode>
                <c:ptCount val="20"/>
                <c:pt idx="0">
                  <c:v>1.328465E-2</c:v>
                </c:pt>
                <c:pt idx="1">
                  <c:v>1.3349652E-2</c:v>
                </c:pt>
                <c:pt idx="2">
                  <c:v>1.3508640000000001E-2</c:v>
                </c:pt>
                <c:pt idx="3">
                  <c:v>1.4549055E-2</c:v>
                </c:pt>
                <c:pt idx="4">
                  <c:v>1.5368616999999999E-2</c:v>
                </c:pt>
                <c:pt idx="5">
                  <c:v>0.10235964</c:v>
                </c:pt>
                <c:pt idx="6">
                  <c:v>0.11248342</c:v>
                </c:pt>
                <c:pt idx="7">
                  <c:v>1.6139437999999999E-2</c:v>
                </c:pt>
                <c:pt idx="8">
                  <c:v>1.3518990999999999E-2</c:v>
                </c:pt>
                <c:pt idx="9">
                  <c:v>1.7544247999999998E-2</c:v>
                </c:pt>
                <c:pt idx="10">
                  <c:v>0.10644066000000001</c:v>
                </c:pt>
                <c:pt idx="11">
                  <c:v>0.15734195000000001</c:v>
                </c:pt>
                <c:pt idx="12">
                  <c:v>0.20540939999999999</c:v>
                </c:pt>
                <c:pt idx="13">
                  <c:v>0.21752218000000001</c:v>
                </c:pt>
                <c:pt idx="14">
                  <c:v>0.13222563000000001</c:v>
                </c:pt>
                <c:pt idx="15">
                  <c:v>2.1046974999999999E-2</c:v>
                </c:pt>
                <c:pt idx="16">
                  <c:v>2.3934090000000002E-2</c:v>
                </c:pt>
                <c:pt idx="17">
                  <c:v>2.0685731999999998E-2</c:v>
                </c:pt>
                <c:pt idx="18">
                  <c:v>5.5421133999999997E-2</c:v>
                </c:pt>
                <c:pt idx="19">
                  <c:v>0.86837262000000004</c:v>
                </c:pt>
              </c:numCache>
            </c:numRef>
          </c:yVal>
          <c:smooth val="1"/>
        </c:ser>
        <c:ser>
          <c:idx val="2"/>
          <c:order val="2"/>
          <c:tx>
            <c:v>Peak</c:v>
          </c:tx>
          <c:spPr>
            <a:ln w="12700">
              <a:solidFill>
                <a:srgbClr val="FF0000"/>
              </a:solidFill>
            </a:ln>
          </c:spPr>
          <c:marker>
            <c:symbol val="triangle"/>
            <c:size val="10"/>
            <c:spPr>
              <a:noFill/>
              <a:ln>
                <a:solidFill>
                  <a:srgbClr val="FF0000"/>
                </a:solidFill>
              </a:ln>
            </c:spPr>
          </c:marker>
          <c:xVal>
            <c:numRef>
              <c:f>result!$B$3:$B$22</c:f>
              <c:numCache>
                <c:formatCode>0.000_ </c:formatCode>
                <c:ptCount val="20"/>
                <c:pt idx="0">
                  <c:v>0</c:v>
                </c:pt>
                <c:pt idx="1">
                  <c:v>0.51587999999999989</c:v>
                </c:pt>
                <c:pt idx="2">
                  <c:v>0.69917999999999991</c:v>
                </c:pt>
                <c:pt idx="3">
                  <c:v>0.88247999999999993</c:v>
                </c:pt>
                <c:pt idx="4">
                  <c:v>1.0657799999999999</c:v>
                </c:pt>
                <c:pt idx="5">
                  <c:v>1.24908</c:v>
                </c:pt>
                <c:pt idx="6">
                  <c:v>1.43238</c:v>
                </c:pt>
                <c:pt idx="7">
                  <c:v>1.61568</c:v>
                </c:pt>
                <c:pt idx="8">
                  <c:v>1.7989799999999998</c:v>
                </c:pt>
                <c:pt idx="9">
                  <c:v>1.9822799999999998</c:v>
                </c:pt>
                <c:pt idx="10">
                  <c:v>2.3488799999999999</c:v>
                </c:pt>
                <c:pt idx="11">
                  <c:v>2.7154799999999999</c:v>
                </c:pt>
                <c:pt idx="12">
                  <c:v>3.0820799999999999</c:v>
                </c:pt>
                <c:pt idx="13">
                  <c:v>3.44868</c:v>
                </c:pt>
                <c:pt idx="14">
                  <c:v>3.8152799999999996</c:v>
                </c:pt>
                <c:pt idx="15">
                  <c:v>4.1818799999999996</c:v>
                </c:pt>
                <c:pt idx="16">
                  <c:v>4.5484799999999996</c:v>
                </c:pt>
                <c:pt idx="17">
                  <c:v>4.9150799999999997</c:v>
                </c:pt>
                <c:pt idx="18">
                  <c:v>5.2816799999999997</c:v>
                </c:pt>
                <c:pt idx="19">
                  <c:v>5.6482799999999997</c:v>
                </c:pt>
              </c:numCache>
            </c:numRef>
          </c:xVal>
          <c:yVal>
            <c:numRef>
              <c:f>result!$H$3:$H$22</c:f>
              <c:numCache>
                <c:formatCode>0.000_ </c:formatCode>
                <c:ptCount val="20"/>
                <c:pt idx="0">
                  <c:v>6.9130733999999999E-2</c:v>
                </c:pt>
                <c:pt idx="1">
                  <c:v>6.0625272000000001E-2</c:v>
                </c:pt>
                <c:pt idx="2">
                  <c:v>5.5600355999999997E-2</c:v>
                </c:pt>
                <c:pt idx="3">
                  <c:v>6.6377221E-2</c:v>
                </c:pt>
                <c:pt idx="4">
                  <c:v>6.4817027999999999E-2</c:v>
                </c:pt>
                <c:pt idx="5">
                  <c:v>0.20377765</c:v>
                </c:pt>
                <c:pt idx="6">
                  <c:v>0.19846976</c:v>
                </c:pt>
                <c:pt idx="7">
                  <c:v>6.1267098999999998E-2</c:v>
                </c:pt>
                <c:pt idx="8">
                  <c:v>5.3833419E-2</c:v>
                </c:pt>
                <c:pt idx="9">
                  <c:v>8.2250067999999996E-2</c:v>
                </c:pt>
                <c:pt idx="10">
                  <c:v>0.19826207000000001</c:v>
                </c:pt>
                <c:pt idx="11">
                  <c:v>0.28874530999999998</c:v>
                </c:pt>
                <c:pt idx="12">
                  <c:v>0.35844409999999999</c:v>
                </c:pt>
                <c:pt idx="13">
                  <c:v>0.34280007000000001</c:v>
                </c:pt>
                <c:pt idx="14">
                  <c:v>0.29109429999999997</c:v>
                </c:pt>
                <c:pt idx="15">
                  <c:v>8.6231907999999996E-2</c:v>
                </c:pt>
                <c:pt idx="16">
                  <c:v>8.5297258000000001E-2</c:v>
                </c:pt>
                <c:pt idx="17">
                  <c:v>8.8174846000000001E-2</c:v>
                </c:pt>
                <c:pt idx="18">
                  <c:v>0.16229531999999999</c:v>
                </c:pt>
                <c:pt idx="19">
                  <c:v>1.2873672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923392"/>
        <c:axId val="140923968"/>
      </c:scatterChart>
      <c:valAx>
        <c:axId val="1409233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altLang="ko-KR" sz="1600"/>
                  <a:t>windspeed(m/s)</a:t>
                </a:r>
                <a:endParaRPr lang="ko-KR" altLang="en-US" sz="1600"/>
              </a:p>
            </c:rich>
          </c:tx>
          <c:layout>
            <c:manualLayout>
              <c:xMode val="edge"/>
              <c:yMode val="edge"/>
              <c:x val="0.39955176057538261"/>
              <c:y val="0.88580674157785455"/>
            </c:manualLayout>
          </c:layout>
          <c:overlay val="0"/>
        </c:title>
        <c:numFmt formatCode="0_ " sourceLinked="0"/>
        <c:majorTickMark val="out"/>
        <c:minorTickMark val="none"/>
        <c:tickLblPos val="nextTo"/>
        <c:crossAx val="140923968"/>
        <c:crossesAt val="-100"/>
        <c:crossBetween val="midCat"/>
      </c:valAx>
      <c:valAx>
        <c:axId val="140923968"/>
        <c:scaling>
          <c:orientation val="minMax"/>
          <c:max val="1"/>
          <c:min val="-0.2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en-US" altLang="ko-KR" sz="1600"/>
                  <a:t>Displacement(cm)</a:t>
                </a:r>
                <a:endParaRPr lang="ko-KR" altLang="en-US" sz="1600"/>
              </a:p>
            </c:rich>
          </c:tx>
          <c:layout/>
          <c:overlay val="0"/>
        </c:title>
        <c:numFmt formatCode="0.0_ " sourceLinked="0"/>
        <c:majorTickMark val="out"/>
        <c:minorTickMark val="none"/>
        <c:tickLblPos val="nextTo"/>
        <c:crossAx val="140923392"/>
        <c:crosses val="autoZero"/>
        <c:crossBetween val="midCat"/>
        <c:majorUnit val="0.2"/>
      </c:valAx>
    </c:plotArea>
    <c:legend>
      <c:legendPos val="r"/>
      <c:layout>
        <c:manualLayout>
          <c:xMode val="edge"/>
          <c:yMode val="edge"/>
          <c:x val="0.1533408323959505"/>
          <c:y val="0.16276128052328778"/>
          <c:w val="0.15297222222222223"/>
          <c:h val="0.19105007779486291"/>
        </c:manualLayout>
      </c:layout>
      <c:overlay val="1"/>
      <c:spPr>
        <a:solidFill>
          <a:schemeClr val="bg1"/>
        </a:solidFill>
      </c:spPr>
      <c:txPr>
        <a:bodyPr/>
        <a:lstStyle/>
        <a:p>
          <a:pPr>
            <a:defRPr sz="1400"/>
          </a:pPr>
          <a:endParaRPr lang="ko-K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66675</xdr:rowOff>
    </xdr:from>
    <xdr:to>
      <xdr:col>19</xdr:col>
      <xdr:colOff>600075</xdr:colOff>
      <xdr:row>32</xdr:row>
      <xdr:rowOff>142875</xdr:rowOff>
    </xdr:to>
    <xdr:graphicFrame macro="">
      <xdr:nvGraphicFramePr>
        <xdr:cNvPr id="14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22</xdr:row>
      <xdr:rowOff>138112</xdr:rowOff>
    </xdr:from>
    <xdr:to>
      <xdr:col>8</xdr:col>
      <xdr:colOff>152400</xdr:colOff>
      <xdr:row>44</xdr:row>
      <xdr:rowOff>95250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8</xdr:col>
      <xdr:colOff>142875</xdr:colOff>
      <xdr:row>66</xdr:row>
      <xdr:rowOff>128588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419100</xdr:colOff>
      <xdr:row>22</xdr:row>
      <xdr:rowOff>133350</xdr:rowOff>
    </xdr:from>
    <xdr:to>
      <xdr:col>16</xdr:col>
      <xdr:colOff>190500</xdr:colOff>
      <xdr:row>44</xdr:row>
      <xdr:rowOff>90488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409575</xdr:colOff>
      <xdr:row>44</xdr:row>
      <xdr:rowOff>166688</xdr:rowOff>
    </xdr:from>
    <xdr:to>
      <xdr:col>16</xdr:col>
      <xdr:colOff>180975</xdr:colOff>
      <xdr:row>66</xdr:row>
      <xdr:rowOff>123826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D4" sqref="D4"/>
    </sheetView>
  </sheetViews>
  <sheetFormatPr defaultRowHeight="13.5"/>
  <cols>
    <col min="1" max="1" width="8.88671875" style="4"/>
    <col min="3" max="4" width="13.109375" bestFit="1" customWidth="1"/>
    <col min="5" max="5" width="24.109375" style="18" customWidth="1"/>
    <col min="6" max="6" width="15.6640625" style="14" bestFit="1" customWidth="1"/>
    <col min="7" max="7" width="8.88671875" style="14"/>
    <col min="8" max="9" width="8.88671875" style="16"/>
    <col min="15" max="15" width="11.33203125" bestFit="1" customWidth="1"/>
  </cols>
  <sheetData>
    <row r="1" spans="1:9">
      <c r="A1" s="30" t="s">
        <v>38</v>
      </c>
      <c r="B1" s="30"/>
      <c r="C1" s="30"/>
      <c r="D1" s="30"/>
      <c r="E1" s="30"/>
      <c r="F1" s="9" t="s">
        <v>12</v>
      </c>
      <c r="G1" s="9">
        <v>24</v>
      </c>
      <c r="H1" s="31" t="s">
        <v>13</v>
      </c>
      <c r="I1" s="31"/>
    </row>
    <row r="2" spans="1:9">
      <c r="A2" s="4" t="s">
        <v>4</v>
      </c>
      <c r="B2" s="4" t="s">
        <v>0</v>
      </c>
      <c r="C2" s="4" t="s">
        <v>1</v>
      </c>
      <c r="D2" s="4" t="s">
        <v>2</v>
      </c>
      <c r="E2" s="18" t="s">
        <v>3</v>
      </c>
      <c r="F2" s="9" t="s">
        <v>10</v>
      </c>
      <c r="G2" s="9">
        <v>1014.3</v>
      </c>
      <c r="H2" s="10" t="s">
        <v>36</v>
      </c>
      <c r="I2" s="10" t="s">
        <v>37</v>
      </c>
    </row>
    <row r="3" spans="1:9">
      <c r="A3" s="4" t="s">
        <v>5</v>
      </c>
      <c r="B3" s="1">
        <v>20</v>
      </c>
      <c r="C3" s="2">
        <v>5.5327076000000003E-2</v>
      </c>
      <c r="D3" s="6">
        <v>0</v>
      </c>
      <c r="E3" s="2"/>
      <c r="F3" s="9" t="s">
        <v>14</v>
      </c>
      <c r="G3" s="9">
        <f>760*G2/1013</f>
        <v>760.9753208292201</v>
      </c>
      <c r="H3" s="11">
        <f>((D3/4)*SQRT(2/$G$4))*($G$7/$G$8)*SQRT($G$6)</f>
        <v>0</v>
      </c>
      <c r="I3" s="11">
        <f>((D3/4)*SQRT(2/$G$4))*($G$9/$G$10)*SQRT($G$6)</f>
        <v>0</v>
      </c>
    </row>
    <row r="4" spans="1:9" ht="14.25">
      <c r="A4" s="4" t="s">
        <v>6</v>
      </c>
      <c r="B4" s="1">
        <v>40</v>
      </c>
      <c r="C4" s="2">
        <v>0.17340641000000001</v>
      </c>
      <c r="D4" s="6">
        <f t="shared" ref="D3:D30" si="0">B4*0.01833-0.21732</f>
        <v>0.51587999999999989</v>
      </c>
      <c r="E4" s="2"/>
      <c r="F4" s="9" t="s">
        <v>20</v>
      </c>
      <c r="G4" s="12">
        <f>0.13186*273/(G1+273)*G3/760</f>
        <v>0.12136019043345596</v>
      </c>
      <c r="H4" s="11">
        <f t="shared" ref="H4:H9" si="1">((D4/4)*SQRT(2/$G$4))*($G$7/$G$8)*SQRT($G$6)</f>
        <v>0.5235589318986279</v>
      </c>
      <c r="I4" s="11">
        <f t="shared" ref="I4:I9" si="2">((D4/4)*SQRT(2/$G$4))*($G$9/$G$10)*SQRT($G$6)</f>
        <v>0.5235589318986279</v>
      </c>
    </row>
    <row r="5" spans="1:9" ht="16.5">
      <c r="A5" s="4" t="s">
        <v>7</v>
      </c>
      <c r="B5" s="29">
        <v>50</v>
      </c>
      <c r="C5" s="2">
        <v>0.34907451</v>
      </c>
      <c r="D5" s="6">
        <f t="shared" si="0"/>
        <v>0.69917999999999991</v>
      </c>
      <c r="E5" s="2"/>
      <c r="F5" s="9" t="s">
        <v>19</v>
      </c>
      <c r="G5" s="12">
        <f>G4*9.80665</f>
        <v>1.1901369115142508</v>
      </c>
      <c r="H5" s="11">
        <f t="shared" si="1"/>
        <v>0.70958737304195285</v>
      </c>
      <c r="I5" s="11">
        <f t="shared" si="2"/>
        <v>0.70958737304195285</v>
      </c>
    </row>
    <row r="6" spans="1:9">
      <c r="A6" s="4" t="s">
        <v>8</v>
      </c>
      <c r="B6" s="29">
        <v>60</v>
      </c>
      <c r="C6" s="2">
        <v>0.42670267000000001</v>
      </c>
      <c r="D6" s="6">
        <f t="shared" si="0"/>
        <v>0.88247999999999993</v>
      </c>
      <c r="E6" s="2"/>
      <c r="F6" s="9" t="s">
        <v>15</v>
      </c>
      <c r="G6" s="22">
        <v>1</v>
      </c>
      <c r="H6" s="11">
        <f t="shared" si="1"/>
        <v>0.89561581418527791</v>
      </c>
      <c r="I6" s="11">
        <f t="shared" si="2"/>
        <v>0.89561581418527791</v>
      </c>
    </row>
    <row r="7" spans="1:9">
      <c r="A7" s="4" t="s">
        <v>9</v>
      </c>
      <c r="B7" s="29">
        <v>70</v>
      </c>
      <c r="C7" s="2">
        <v>0.51928207000000004</v>
      </c>
      <c r="D7" s="6">
        <f t="shared" si="0"/>
        <v>1.0657799999999999</v>
      </c>
      <c r="E7" s="2"/>
      <c r="F7" s="9" t="s">
        <v>16</v>
      </c>
      <c r="G7" s="24">
        <v>1.4358</v>
      </c>
      <c r="H7" s="11">
        <f t="shared" si="1"/>
        <v>1.081644255328603</v>
      </c>
      <c r="I7" s="11">
        <f t="shared" si="2"/>
        <v>1.081644255328603</v>
      </c>
    </row>
    <row r="8" spans="1:9">
      <c r="A8" s="19" t="s">
        <v>11</v>
      </c>
      <c r="B8" s="29">
        <v>80</v>
      </c>
      <c r="C8" s="2">
        <v>0.60656065999999997</v>
      </c>
      <c r="D8" s="6">
        <f t="shared" si="0"/>
        <v>1.24908</v>
      </c>
      <c r="E8" s="2"/>
      <c r="F8" s="9" t="s">
        <v>17</v>
      </c>
      <c r="G8" s="24">
        <v>1.4358</v>
      </c>
      <c r="H8" s="11">
        <f t="shared" si="1"/>
        <v>1.267672696471928</v>
      </c>
      <c r="I8" s="11">
        <f t="shared" si="2"/>
        <v>1.267672696471928</v>
      </c>
    </row>
    <row r="9" spans="1:9">
      <c r="A9" s="20" t="s">
        <v>22</v>
      </c>
      <c r="B9" s="29">
        <v>90</v>
      </c>
      <c r="C9" s="2">
        <v>0.68876713000000001</v>
      </c>
      <c r="D9" s="6">
        <f t="shared" si="0"/>
        <v>1.43238</v>
      </c>
      <c r="E9" s="2"/>
      <c r="F9" s="9" t="s">
        <v>18</v>
      </c>
      <c r="G9" s="24">
        <v>3.1084000000000001</v>
      </c>
      <c r="H9" s="11">
        <f t="shared" si="1"/>
        <v>1.4537011376152529</v>
      </c>
      <c r="I9" s="11">
        <f t="shared" si="2"/>
        <v>1.4537011376152529</v>
      </c>
    </row>
    <row r="10" spans="1:9">
      <c r="A10" s="20" t="s">
        <v>23</v>
      </c>
      <c r="B10" s="29">
        <v>100</v>
      </c>
      <c r="C10" s="2">
        <v>0.77962133</v>
      </c>
      <c r="D10" s="6">
        <f t="shared" si="0"/>
        <v>1.61568</v>
      </c>
      <c r="E10" s="2"/>
      <c r="F10" s="9" t="s">
        <v>21</v>
      </c>
      <c r="G10" s="24">
        <v>3.1084000000000001</v>
      </c>
      <c r="H10" s="11">
        <f t="shared" ref="H10:H35" si="3">((D10/4)*SQRT(2/$G$4))*($G$7/$G$8)*SQRT($G$6)</f>
        <v>1.6397295787585779</v>
      </c>
      <c r="I10" s="11">
        <f t="shared" ref="I10:I35" si="4">((D10/4)*SQRT(2/$G$4))*($G$9/$G$10)*SQRT($G$6)</f>
        <v>1.6397295787585779</v>
      </c>
    </row>
    <row r="11" spans="1:9">
      <c r="A11" s="20" t="s">
        <v>24</v>
      </c>
      <c r="B11" s="29">
        <v>110</v>
      </c>
      <c r="C11" s="2">
        <v>0.87015975000000001</v>
      </c>
      <c r="D11" s="6">
        <f t="shared" si="0"/>
        <v>1.7989799999999998</v>
      </c>
      <c r="E11" s="2"/>
      <c r="F11" s="13"/>
      <c r="H11" s="11">
        <f t="shared" si="3"/>
        <v>1.8257580199019028</v>
      </c>
      <c r="I11" s="11">
        <f t="shared" si="4"/>
        <v>1.8257580199019028</v>
      </c>
    </row>
    <row r="12" spans="1:9">
      <c r="A12" s="20" t="s">
        <v>25</v>
      </c>
      <c r="B12" s="29">
        <v>120</v>
      </c>
      <c r="C12" s="2">
        <v>0.95778467</v>
      </c>
      <c r="D12" s="6">
        <f t="shared" si="0"/>
        <v>1.9822799999999998</v>
      </c>
      <c r="E12" s="2"/>
      <c r="F12" s="13"/>
      <c r="H12" s="11">
        <f t="shared" si="3"/>
        <v>2.0117864610452276</v>
      </c>
      <c r="I12" s="11">
        <f t="shared" si="4"/>
        <v>2.0117864610452276</v>
      </c>
    </row>
    <row r="13" spans="1:9">
      <c r="A13" s="20" t="s">
        <v>26</v>
      </c>
      <c r="B13" s="29">
        <v>140</v>
      </c>
      <c r="C13" s="2">
        <v>1.044419</v>
      </c>
      <c r="D13" s="6">
        <f t="shared" si="0"/>
        <v>2.3488799999999999</v>
      </c>
      <c r="E13" s="2"/>
      <c r="F13" s="13"/>
      <c r="H13" s="11">
        <f t="shared" si="3"/>
        <v>2.3838433433318778</v>
      </c>
      <c r="I13" s="11">
        <f t="shared" si="4"/>
        <v>2.3838433433318778</v>
      </c>
    </row>
    <row r="14" spans="1:9">
      <c r="A14" s="20" t="s">
        <v>27</v>
      </c>
      <c r="B14" s="29">
        <v>160</v>
      </c>
      <c r="C14" s="2">
        <v>1.2266748000000001</v>
      </c>
      <c r="D14" s="6">
        <f t="shared" si="0"/>
        <v>2.7154799999999999</v>
      </c>
      <c r="E14" s="2"/>
      <c r="F14" s="13"/>
      <c r="H14" s="11">
        <f t="shared" si="3"/>
        <v>2.7559002256185279</v>
      </c>
      <c r="I14" s="11">
        <f t="shared" si="4"/>
        <v>2.7559002256185279</v>
      </c>
    </row>
    <row r="15" spans="1:9">
      <c r="A15" s="20" t="s">
        <v>28</v>
      </c>
      <c r="B15" s="29">
        <v>180</v>
      </c>
      <c r="C15" s="2">
        <v>1.4005078</v>
      </c>
      <c r="D15" s="6">
        <f t="shared" si="0"/>
        <v>3.0820799999999999</v>
      </c>
      <c r="E15" s="2"/>
      <c r="F15" s="13"/>
      <c r="H15" s="11">
        <f t="shared" si="3"/>
        <v>3.127957107905178</v>
      </c>
      <c r="I15" s="11">
        <f t="shared" si="4"/>
        <v>3.127957107905178</v>
      </c>
    </row>
    <row r="16" spans="1:9">
      <c r="A16" s="20" t="s">
        <v>29</v>
      </c>
      <c r="B16" s="29">
        <v>200</v>
      </c>
      <c r="C16" s="2">
        <v>1.6013818</v>
      </c>
      <c r="D16" s="6">
        <f t="shared" si="0"/>
        <v>3.44868</v>
      </c>
      <c r="E16" s="2"/>
      <c r="F16" s="13"/>
      <c r="H16" s="11">
        <f t="shared" si="3"/>
        <v>3.5000139901918281</v>
      </c>
      <c r="I16" s="11">
        <f t="shared" si="4"/>
        <v>3.5000139901918281</v>
      </c>
    </row>
    <row r="17" spans="1:9">
      <c r="A17" s="20" t="s">
        <v>30</v>
      </c>
      <c r="B17" s="29">
        <v>220</v>
      </c>
      <c r="C17" s="2">
        <v>1.7754970000000001</v>
      </c>
      <c r="D17" s="6">
        <f t="shared" si="0"/>
        <v>3.8152799999999996</v>
      </c>
      <c r="E17" s="2"/>
      <c r="F17" s="13"/>
      <c r="H17" s="11">
        <f t="shared" si="3"/>
        <v>3.8720708724784778</v>
      </c>
      <c r="I17" s="11">
        <f t="shared" si="4"/>
        <v>3.8720708724784778</v>
      </c>
    </row>
    <row r="18" spans="1:9">
      <c r="A18" s="20" t="s">
        <v>31</v>
      </c>
      <c r="B18" s="29">
        <v>240</v>
      </c>
      <c r="C18" s="2">
        <v>1.9577742</v>
      </c>
      <c r="D18" s="6">
        <f t="shared" si="0"/>
        <v>4.1818799999999996</v>
      </c>
      <c r="E18" s="2"/>
      <c r="F18" s="13"/>
      <c r="H18" s="11">
        <f t="shared" si="3"/>
        <v>4.2441277547651275</v>
      </c>
      <c r="I18" s="11">
        <f t="shared" si="4"/>
        <v>4.2441277547651275</v>
      </c>
    </row>
    <row r="19" spans="1:9">
      <c r="A19" s="20" t="s">
        <v>32</v>
      </c>
      <c r="B19" s="29">
        <v>260</v>
      </c>
      <c r="C19" s="2">
        <v>2.1527641000000002</v>
      </c>
      <c r="D19" s="6">
        <f t="shared" si="0"/>
        <v>4.5484799999999996</v>
      </c>
      <c r="E19" s="2"/>
      <c r="F19" s="13"/>
      <c r="H19" s="11">
        <f t="shared" si="3"/>
        <v>4.6161846370517781</v>
      </c>
      <c r="I19" s="11">
        <f t="shared" si="4"/>
        <v>4.6161846370517781</v>
      </c>
    </row>
    <row r="20" spans="1:9">
      <c r="A20" s="20" t="s">
        <v>33</v>
      </c>
      <c r="B20" s="29">
        <v>280</v>
      </c>
      <c r="C20" s="2">
        <v>2.2442593999999998</v>
      </c>
      <c r="D20" s="6">
        <f t="shared" si="0"/>
        <v>4.9150799999999997</v>
      </c>
      <c r="E20" s="2"/>
      <c r="F20" s="13"/>
      <c r="H20" s="11">
        <f t="shared" si="3"/>
        <v>4.9882415193384277</v>
      </c>
      <c r="I20" s="11">
        <f t="shared" si="4"/>
        <v>4.9882415193384277</v>
      </c>
    </row>
    <row r="21" spans="1:9">
      <c r="A21" s="20" t="s">
        <v>34</v>
      </c>
      <c r="B21" s="29">
        <v>300</v>
      </c>
      <c r="C21" s="2">
        <v>2.3357380000000001</v>
      </c>
      <c r="D21" s="6">
        <f t="shared" si="0"/>
        <v>5.2816799999999997</v>
      </c>
      <c r="E21" s="2"/>
      <c r="F21" s="13"/>
      <c r="H21" s="11">
        <f t="shared" si="3"/>
        <v>5.3602984016250774</v>
      </c>
      <c r="I21" s="11">
        <f t="shared" si="4"/>
        <v>5.3602984016250774</v>
      </c>
    </row>
    <row r="22" spans="1:9">
      <c r="A22" s="20" t="s">
        <v>35</v>
      </c>
      <c r="B22" s="29">
        <v>320</v>
      </c>
      <c r="C22" s="2">
        <v>2.5166433000000001</v>
      </c>
      <c r="D22" s="6">
        <f t="shared" si="0"/>
        <v>5.6482799999999997</v>
      </c>
      <c r="E22" s="2"/>
      <c r="F22" s="13"/>
      <c r="H22" s="11">
        <f t="shared" si="3"/>
        <v>5.732355283911728</v>
      </c>
      <c r="I22" s="11">
        <f t="shared" si="4"/>
        <v>5.732355283911728</v>
      </c>
    </row>
    <row r="23" spans="1:9">
      <c r="A23" s="20"/>
      <c r="B23" s="29"/>
      <c r="C23" s="2"/>
      <c r="D23" s="6"/>
      <c r="E23" s="2"/>
      <c r="F23" s="13"/>
      <c r="H23" s="11"/>
      <c r="I23" s="11"/>
    </row>
    <row r="24" spans="1:9">
      <c r="A24" s="20"/>
      <c r="B24" s="29"/>
      <c r="C24" s="2"/>
      <c r="D24" s="6"/>
      <c r="E24" s="2"/>
      <c r="F24" s="13"/>
      <c r="H24" s="11"/>
      <c r="I24" s="11"/>
    </row>
    <row r="25" spans="1:9">
      <c r="A25" s="20"/>
      <c r="B25" s="29"/>
      <c r="C25" s="2"/>
      <c r="D25" s="6"/>
      <c r="E25" s="2"/>
      <c r="F25" s="13"/>
      <c r="H25" s="11"/>
      <c r="I25" s="11"/>
    </row>
    <row r="26" spans="1:9">
      <c r="A26" s="20"/>
      <c r="B26" s="29"/>
      <c r="C26" s="2"/>
      <c r="D26" s="6"/>
      <c r="E26" s="2"/>
      <c r="F26" s="13"/>
      <c r="H26" s="11"/>
      <c r="I26" s="11"/>
    </row>
    <row r="27" spans="1:9">
      <c r="A27" s="20"/>
      <c r="B27" s="29"/>
      <c r="C27" s="2"/>
      <c r="D27" s="6"/>
      <c r="E27" s="2"/>
      <c r="F27" s="13"/>
      <c r="H27" s="11"/>
      <c r="I27" s="11"/>
    </row>
    <row r="28" spans="1:9">
      <c r="A28" s="20"/>
      <c r="B28" s="29"/>
      <c r="C28" s="2"/>
      <c r="D28" s="6"/>
      <c r="E28" s="2"/>
      <c r="F28" s="13"/>
      <c r="H28" s="11"/>
      <c r="I28" s="11"/>
    </row>
    <row r="29" spans="1:9">
      <c r="A29" s="20"/>
      <c r="B29" s="29"/>
      <c r="C29" s="2"/>
      <c r="D29" s="6"/>
      <c r="E29" s="2"/>
      <c r="F29" s="13"/>
      <c r="H29" s="11"/>
      <c r="I29" s="11"/>
    </row>
    <row r="30" spans="1:9">
      <c r="A30" s="20"/>
      <c r="B30" s="29"/>
      <c r="C30" s="2"/>
      <c r="D30" s="6"/>
      <c r="E30" s="2"/>
      <c r="F30" s="13"/>
      <c r="H30" s="11"/>
      <c r="I30" s="11"/>
    </row>
    <row r="31" spans="1:9">
      <c r="A31" s="20"/>
      <c r="B31" s="29"/>
      <c r="C31" s="2"/>
      <c r="D31" s="6"/>
      <c r="E31" s="2"/>
      <c r="F31" s="13"/>
      <c r="H31" s="11"/>
      <c r="I31" s="11"/>
    </row>
    <row r="32" spans="1:9">
      <c r="A32" s="20"/>
      <c r="B32" s="29"/>
      <c r="C32" s="2"/>
      <c r="D32" s="6"/>
      <c r="E32" s="2"/>
      <c r="F32" s="13"/>
      <c r="H32" s="11"/>
      <c r="I32" s="11"/>
    </row>
    <row r="33" spans="1:15">
      <c r="A33" s="21"/>
      <c r="B33" s="29"/>
      <c r="C33" s="2"/>
      <c r="D33" s="6"/>
      <c r="E33" s="2"/>
      <c r="F33" s="13"/>
      <c r="H33" s="11"/>
      <c r="I33" s="11"/>
    </row>
    <row r="34" spans="1:15">
      <c r="A34" s="25"/>
      <c r="B34" s="29"/>
      <c r="C34" s="2"/>
      <c r="D34" s="6"/>
      <c r="E34" s="2"/>
      <c r="F34" s="13"/>
      <c r="H34" s="11"/>
      <c r="I34" s="11"/>
    </row>
    <row r="35" spans="1:15">
      <c r="A35" s="25"/>
      <c r="B35" s="29"/>
      <c r="C35" s="2"/>
      <c r="D35" s="6"/>
      <c r="E35" s="2"/>
      <c r="F35" s="13"/>
      <c r="H35" s="11"/>
      <c r="I35" s="11"/>
    </row>
    <row r="36" spans="1:15">
      <c r="A36" s="26"/>
      <c r="B36" s="29"/>
      <c r="C36" s="2"/>
      <c r="D36" s="6"/>
      <c r="E36" s="2"/>
      <c r="F36" s="13"/>
      <c r="H36" s="11"/>
      <c r="I36" s="11"/>
    </row>
    <row r="37" spans="1:15">
      <c r="A37" s="27"/>
      <c r="B37" s="29"/>
      <c r="C37" s="2"/>
      <c r="D37" s="6"/>
      <c r="E37" s="2"/>
      <c r="F37" s="13"/>
      <c r="H37" s="11"/>
      <c r="I37" s="11"/>
    </row>
    <row r="38" spans="1:15">
      <c r="A38" s="27"/>
      <c r="B38" s="29"/>
      <c r="C38" s="2"/>
      <c r="D38" s="6"/>
      <c r="E38" s="2"/>
      <c r="F38" s="13"/>
      <c r="H38" s="11"/>
      <c r="I38" s="11"/>
    </row>
    <row r="39" spans="1:15">
      <c r="A39" s="27"/>
      <c r="B39" s="29"/>
      <c r="C39" s="2"/>
      <c r="D39" s="6"/>
      <c r="E39" s="2"/>
      <c r="F39" s="13"/>
      <c r="H39" s="11"/>
      <c r="I39" s="11"/>
    </row>
    <row r="40" spans="1:15">
      <c r="A40" s="27"/>
      <c r="B40" s="29"/>
      <c r="C40" s="2"/>
      <c r="D40" s="6"/>
      <c r="E40" s="2"/>
      <c r="F40" s="13"/>
      <c r="H40" s="11"/>
      <c r="I40" s="11"/>
    </row>
    <row r="41" spans="1:15">
      <c r="A41" s="27"/>
      <c r="B41" s="29"/>
      <c r="C41" s="2"/>
      <c r="D41" s="6"/>
      <c r="E41" s="2"/>
      <c r="F41" s="13"/>
      <c r="H41" s="11"/>
      <c r="I41" s="11"/>
      <c r="O41" s="23"/>
    </row>
    <row r="42" spans="1:15">
      <c r="A42" s="27"/>
      <c r="B42" s="29"/>
      <c r="C42" s="2"/>
      <c r="D42" s="6"/>
      <c r="E42" s="2"/>
      <c r="F42" s="13"/>
      <c r="H42" s="11"/>
      <c r="I42" s="11"/>
    </row>
    <row r="43" spans="1:15">
      <c r="A43" s="27"/>
      <c r="B43" s="29"/>
      <c r="C43" s="2"/>
      <c r="D43" s="6"/>
      <c r="E43" s="2"/>
      <c r="F43" s="13"/>
      <c r="H43" s="11"/>
      <c r="I43" s="11"/>
    </row>
    <row r="44" spans="1:15">
      <c r="A44" s="27"/>
      <c r="B44" s="29"/>
      <c r="C44" s="2"/>
      <c r="D44" s="6"/>
      <c r="E44" s="2"/>
      <c r="F44" s="13"/>
      <c r="H44" s="11"/>
      <c r="I44" s="11"/>
    </row>
    <row r="45" spans="1:15">
      <c r="A45" s="27"/>
      <c r="B45" s="29"/>
      <c r="C45" s="2"/>
      <c r="D45" s="6"/>
      <c r="E45" s="2"/>
      <c r="F45" s="13"/>
      <c r="H45" s="11"/>
      <c r="I45" s="11"/>
    </row>
    <row r="46" spans="1:15">
      <c r="A46" s="27"/>
      <c r="B46" s="29"/>
      <c r="C46" s="2"/>
      <c r="D46" s="6"/>
      <c r="E46" s="2"/>
      <c r="F46" s="13"/>
      <c r="H46" s="11"/>
      <c r="I46" s="11"/>
    </row>
    <row r="47" spans="1:15">
      <c r="A47" s="27"/>
      <c r="B47" s="29"/>
      <c r="C47" s="2"/>
      <c r="D47" s="6"/>
      <c r="E47" s="2"/>
      <c r="F47" s="13"/>
      <c r="H47" s="11"/>
      <c r="I47" s="11"/>
    </row>
    <row r="48" spans="1:15">
      <c r="A48" s="28"/>
      <c r="B48" s="29"/>
      <c r="C48" s="2"/>
      <c r="D48" s="6"/>
      <c r="E48" s="2"/>
      <c r="F48" s="13"/>
      <c r="H48" s="11"/>
      <c r="I48" s="11"/>
    </row>
    <row r="49" spans="1:9">
      <c r="A49" s="28"/>
      <c r="B49" s="29"/>
      <c r="C49" s="2"/>
      <c r="D49" s="6"/>
      <c r="E49" s="2"/>
      <c r="F49" s="13"/>
      <c r="H49" s="11"/>
      <c r="I49" s="11"/>
    </row>
    <row r="50" spans="1:9">
      <c r="A50" s="28"/>
      <c r="B50" s="29"/>
      <c r="C50" s="2"/>
      <c r="D50" s="6"/>
      <c r="E50" s="2"/>
      <c r="F50" s="13"/>
      <c r="H50" s="11"/>
      <c r="I50" s="11"/>
    </row>
    <row r="51" spans="1:9">
      <c r="A51" s="28"/>
      <c r="B51" s="29"/>
      <c r="C51" s="2"/>
      <c r="D51" s="6"/>
      <c r="E51" s="2"/>
      <c r="F51" s="13"/>
      <c r="H51" s="11"/>
      <c r="I51" s="11"/>
    </row>
    <row r="52" spans="1:9">
      <c r="A52" s="28"/>
      <c r="B52" s="29"/>
      <c r="C52" s="2"/>
      <c r="D52" s="6"/>
      <c r="E52" s="2"/>
      <c r="F52" s="13"/>
      <c r="H52" s="11"/>
      <c r="I52" s="11"/>
    </row>
    <row r="53" spans="1:9">
      <c r="A53" s="28"/>
      <c r="B53" s="28"/>
      <c r="C53" s="2"/>
      <c r="D53" s="6"/>
      <c r="E53" s="2"/>
      <c r="F53" s="13"/>
      <c r="H53" s="11"/>
      <c r="I53" s="11"/>
    </row>
    <row r="54" spans="1:9">
      <c r="A54" s="17"/>
      <c r="B54" s="18"/>
      <c r="C54" s="2"/>
      <c r="D54" s="6"/>
      <c r="E54" s="2"/>
      <c r="F54" s="13"/>
      <c r="H54" s="11"/>
      <c r="I54" s="11"/>
    </row>
    <row r="55" spans="1:9">
      <c r="A55" s="17"/>
      <c r="B55" s="18"/>
      <c r="C55" s="2"/>
      <c r="D55" s="6"/>
      <c r="E55" s="2"/>
      <c r="F55" s="13"/>
      <c r="H55" s="11"/>
      <c r="I55" s="11"/>
    </row>
    <row r="56" spans="1:9">
      <c r="A56" s="17"/>
      <c r="B56" s="18"/>
      <c r="C56" s="2"/>
      <c r="D56" s="6"/>
      <c r="E56" s="2"/>
      <c r="F56" s="13"/>
      <c r="H56" s="11"/>
      <c r="I56" s="11"/>
    </row>
    <row r="57" spans="1:9">
      <c r="A57" s="17"/>
      <c r="B57" s="18"/>
      <c r="C57" s="2"/>
      <c r="D57" s="6"/>
      <c r="E57" s="2"/>
      <c r="F57" s="13"/>
      <c r="H57" s="11"/>
      <c r="I57" s="11"/>
    </row>
    <row r="58" spans="1:9">
      <c r="A58" s="17"/>
      <c r="B58" s="18"/>
      <c r="C58" s="2"/>
      <c r="D58" s="6"/>
      <c r="E58" s="2"/>
      <c r="F58" s="13"/>
      <c r="H58" s="11"/>
      <c r="I58" s="11"/>
    </row>
    <row r="59" spans="1:9">
      <c r="A59" s="7"/>
      <c r="B59" s="8"/>
      <c r="C59" s="2"/>
      <c r="D59" s="6"/>
      <c r="E59" s="2"/>
      <c r="F59" s="13"/>
      <c r="H59" s="15"/>
      <c r="I59" s="15"/>
    </row>
    <row r="60" spans="1:9">
      <c r="A60" s="7"/>
      <c r="B60" s="8"/>
      <c r="C60" s="2"/>
      <c r="D60" s="6"/>
      <c r="E60" s="2"/>
      <c r="F60" s="13"/>
      <c r="H60" s="15"/>
      <c r="I60" s="15"/>
    </row>
    <row r="61" spans="1:9">
      <c r="A61" s="7"/>
      <c r="B61" s="8"/>
      <c r="C61" s="2"/>
      <c r="D61" s="6"/>
      <c r="E61" s="2"/>
      <c r="F61" s="13"/>
      <c r="H61" s="15"/>
      <c r="I61" s="15"/>
    </row>
    <row r="62" spans="1:9">
      <c r="A62" s="7"/>
      <c r="B62" s="8"/>
      <c r="C62" s="2"/>
      <c r="D62" s="6"/>
      <c r="E62" s="2"/>
      <c r="F62" s="13"/>
      <c r="H62" s="15"/>
      <c r="I62" s="15"/>
    </row>
    <row r="63" spans="1:9">
      <c r="A63" s="7"/>
      <c r="B63" s="8"/>
      <c r="C63" s="2"/>
      <c r="D63" s="6"/>
      <c r="E63" s="2"/>
      <c r="F63" s="13"/>
      <c r="H63" s="15"/>
      <c r="I63" s="15"/>
    </row>
    <row r="64" spans="1:9">
      <c r="A64" s="7"/>
      <c r="B64" s="8"/>
      <c r="C64" s="2"/>
      <c r="D64" s="6"/>
      <c r="E64" s="2"/>
      <c r="F64" s="13"/>
      <c r="H64" s="15"/>
      <c r="I64" s="15"/>
    </row>
    <row r="65" spans="1:9">
      <c r="A65" s="7"/>
      <c r="B65" s="8"/>
      <c r="C65" s="2"/>
      <c r="D65" s="6"/>
      <c r="E65" s="2"/>
      <c r="F65" s="13"/>
      <c r="H65" s="15"/>
      <c r="I65" s="15"/>
    </row>
    <row r="66" spans="1:9">
      <c r="A66" s="7"/>
      <c r="B66" s="8"/>
      <c r="C66" s="2"/>
      <c r="D66" s="6"/>
      <c r="E66" s="2"/>
      <c r="F66" s="13"/>
      <c r="H66" s="15"/>
      <c r="I66" s="15"/>
    </row>
    <row r="67" spans="1:9">
      <c r="A67" s="7"/>
      <c r="B67" s="8"/>
      <c r="C67" s="2"/>
      <c r="D67" s="6"/>
      <c r="E67" s="2"/>
      <c r="F67" s="13"/>
      <c r="H67" s="15"/>
      <c r="I67" s="15"/>
    </row>
    <row r="68" spans="1:9">
      <c r="A68" s="7"/>
      <c r="B68" s="8"/>
      <c r="C68" s="2"/>
      <c r="D68" s="6"/>
      <c r="E68" s="2"/>
      <c r="F68" s="13"/>
      <c r="H68" s="15"/>
      <c r="I68" s="15"/>
    </row>
    <row r="69" spans="1:9">
      <c r="A69" s="7"/>
      <c r="B69" s="8"/>
      <c r="C69" s="2"/>
      <c r="D69" s="6"/>
      <c r="E69" s="2"/>
      <c r="F69" s="13"/>
      <c r="H69" s="15"/>
      <c r="I69" s="15"/>
    </row>
    <row r="70" spans="1:9">
      <c r="A70" s="7"/>
      <c r="B70" s="8"/>
      <c r="C70" s="2"/>
      <c r="D70" s="6"/>
      <c r="E70" s="2"/>
      <c r="F70" s="13"/>
      <c r="H70" s="15"/>
      <c r="I70" s="15"/>
    </row>
    <row r="71" spans="1:9">
      <c r="A71" s="7"/>
      <c r="B71" s="8"/>
      <c r="C71" s="2"/>
      <c r="D71" s="6"/>
      <c r="E71" s="2"/>
      <c r="F71" s="13"/>
      <c r="H71" s="15"/>
      <c r="I71" s="15"/>
    </row>
    <row r="72" spans="1:9">
      <c r="A72" s="7"/>
      <c r="B72" s="8"/>
      <c r="C72" s="2"/>
      <c r="D72" s="6"/>
      <c r="E72" s="2"/>
      <c r="F72" s="13"/>
      <c r="H72" s="15"/>
      <c r="I72" s="15"/>
    </row>
    <row r="73" spans="1:9">
      <c r="A73" s="7"/>
      <c r="B73" s="8"/>
      <c r="C73" s="2"/>
      <c r="D73" s="6"/>
      <c r="E73" s="2"/>
      <c r="F73" s="13"/>
      <c r="H73" s="15"/>
      <c r="I73" s="15"/>
    </row>
    <row r="74" spans="1:9">
      <c r="A74" s="7"/>
      <c r="B74" s="8"/>
      <c r="C74" s="2"/>
      <c r="D74" s="6"/>
      <c r="E74" s="2"/>
      <c r="F74" s="13"/>
      <c r="H74" s="15"/>
      <c r="I74" s="15"/>
    </row>
    <row r="75" spans="1:9">
      <c r="A75" s="7"/>
      <c r="B75" s="7"/>
      <c r="C75" s="2"/>
      <c r="D75" s="6"/>
      <c r="E75" s="2"/>
      <c r="F75" s="13"/>
      <c r="H75" s="15"/>
      <c r="I75" s="15"/>
    </row>
    <row r="76" spans="1:9">
      <c r="A76" s="7"/>
      <c r="B76" s="7"/>
      <c r="C76" s="2"/>
      <c r="D76" s="6"/>
      <c r="E76" s="2"/>
      <c r="F76" s="13"/>
      <c r="H76" s="15"/>
      <c r="I76" s="15"/>
    </row>
    <row r="77" spans="1:9">
      <c r="A77" s="7"/>
      <c r="B77" s="7"/>
      <c r="C77" s="2"/>
      <c r="D77" s="6"/>
      <c r="E77" s="2"/>
      <c r="F77" s="13"/>
      <c r="H77" s="15"/>
      <c r="I77" s="15"/>
    </row>
    <row r="78" spans="1:9">
      <c r="A78" s="7"/>
      <c r="B78" s="7"/>
      <c r="C78" s="2"/>
      <c r="D78" s="6"/>
      <c r="E78" s="2"/>
      <c r="F78" s="13"/>
      <c r="H78" s="15"/>
      <c r="I78" s="15"/>
    </row>
    <row r="79" spans="1:9">
      <c r="B79" s="5"/>
      <c r="C79" s="3"/>
      <c r="D79" s="2"/>
    </row>
    <row r="80" spans="1:9">
      <c r="B80" s="5"/>
      <c r="D80" s="2"/>
    </row>
    <row r="81" spans="2:4">
      <c r="B81" s="5"/>
      <c r="D81" s="2"/>
    </row>
    <row r="82" spans="2:4">
      <c r="B82" s="5"/>
      <c r="D82" s="2"/>
    </row>
    <row r="83" spans="2:4">
      <c r="B83" s="5"/>
      <c r="D83" s="2"/>
    </row>
    <row r="84" spans="2:4">
      <c r="B84" s="5"/>
      <c r="D84" s="2"/>
    </row>
    <row r="85" spans="2:4">
      <c r="B85" s="5"/>
      <c r="D85" s="2"/>
    </row>
    <row r="86" spans="2:4">
      <c r="B86" s="5"/>
      <c r="D86" s="2"/>
    </row>
    <row r="87" spans="2:4">
      <c r="B87" s="5"/>
      <c r="D87" s="2"/>
    </row>
    <row r="88" spans="2:4">
      <c r="B88" s="5"/>
      <c r="D88" s="2"/>
    </row>
    <row r="89" spans="2:4">
      <c r="B89" s="5"/>
      <c r="D89" s="2"/>
    </row>
    <row r="90" spans="2:4">
      <c r="B90" s="5"/>
      <c r="D90" s="2"/>
    </row>
    <row r="91" spans="2:4">
      <c r="B91" s="5"/>
      <c r="D91" s="2"/>
    </row>
    <row r="92" spans="2:4">
      <c r="B92" s="5"/>
      <c r="D92" s="2"/>
    </row>
    <row r="93" spans="2:4">
      <c r="B93" s="5"/>
      <c r="D93" s="2"/>
    </row>
    <row r="94" spans="2:4">
      <c r="B94" s="5"/>
      <c r="D94" s="2"/>
    </row>
    <row r="95" spans="2:4">
      <c r="B95" s="5"/>
      <c r="D95" s="2"/>
    </row>
    <row r="96" spans="2:4">
      <c r="B96" s="5"/>
      <c r="D96" s="2"/>
    </row>
    <row r="97" spans="2:4">
      <c r="B97" s="5"/>
      <c r="D97" s="2"/>
    </row>
    <row r="98" spans="2:4">
      <c r="B98" s="5"/>
      <c r="D98" s="2"/>
    </row>
    <row r="99" spans="2:4">
      <c r="B99" s="5"/>
      <c r="D99" s="2"/>
    </row>
    <row r="100" spans="2:4">
      <c r="B100" s="5"/>
      <c r="D100" s="2"/>
    </row>
    <row r="101" spans="2:4">
      <c r="B101" s="5"/>
      <c r="D101" s="2"/>
    </row>
    <row r="102" spans="2:4">
      <c r="B102" s="5"/>
      <c r="D102" s="2"/>
    </row>
  </sheetData>
  <mergeCells count="2">
    <mergeCell ref="A1:E1"/>
    <mergeCell ref="H1:I1"/>
  </mergeCells>
  <phoneticPr fontId="2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B3" sqref="B3"/>
    </sheetView>
  </sheetViews>
  <sheetFormatPr defaultRowHeight="13.5"/>
  <cols>
    <col min="1" max="1" width="8.88671875" style="29"/>
    <col min="2" max="2" width="13.88671875" style="29" bestFit="1" customWidth="1"/>
    <col min="3" max="3" width="9" style="29" bestFit="1" customWidth="1"/>
    <col min="4" max="4" width="8.5546875" style="29" bestFit="1" customWidth="1"/>
    <col min="5" max="5" width="8.6640625" style="29" bestFit="1" customWidth="1"/>
    <col min="6" max="16384" width="8.88671875" style="29"/>
  </cols>
  <sheetData>
    <row r="1" spans="1:11">
      <c r="A1" s="50" t="s">
        <v>41</v>
      </c>
      <c r="B1" s="48" t="s">
        <v>40</v>
      </c>
      <c r="C1" s="34" t="s">
        <v>39</v>
      </c>
      <c r="D1" s="39"/>
      <c r="E1" s="35"/>
      <c r="F1" s="34" t="s">
        <v>45</v>
      </c>
      <c r="G1" s="39"/>
      <c r="H1" s="35"/>
      <c r="I1" s="32"/>
      <c r="J1" s="32"/>
      <c r="K1" s="32"/>
    </row>
    <row r="2" spans="1:11" ht="14.25" thickBot="1">
      <c r="A2" s="51"/>
      <c r="B2" s="49"/>
      <c r="C2" s="37" t="s">
        <v>42</v>
      </c>
      <c r="D2" s="46" t="s">
        <v>43</v>
      </c>
      <c r="E2" s="47" t="s">
        <v>44</v>
      </c>
      <c r="F2" s="37" t="s">
        <v>42</v>
      </c>
      <c r="G2" s="46" t="s">
        <v>43</v>
      </c>
      <c r="H2" s="47" t="s">
        <v>44</v>
      </c>
    </row>
    <row r="3" spans="1:11">
      <c r="A3" s="55">
        <v>20</v>
      </c>
      <c r="B3" s="52">
        <v>0</v>
      </c>
      <c r="C3" s="44">
        <v>9.1136249999999993E-5</v>
      </c>
      <c r="D3" s="45">
        <v>1.1193541E-2</v>
      </c>
      <c r="E3" s="43">
        <v>3.3761406000000001E-2</v>
      </c>
      <c r="F3" s="44">
        <v>6.0173076999999999E-5</v>
      </c>
      <c r="G3" s="45">
        <v>1.328465E-2</v>
      </c>
      <c r="H3" s="43">
        <v>6.9130733999999999E-2</v>
      </c>
    </row>
    <row r="4" spans="1:11">
      <c r="A4" s="56">
        <v>40</v>
      </c>
      <c r="B4" s="53">
        <v>0.51587999999999989</v>
      </c>
      <c r="C4" s="40">
        <v>-2.99625E-5</v>
      </c>
      <c r="D4" s="33">
        <v>1.1183669E-2</v>
      </c>
      <c r="E4" s="36">
        <v>3.2546004000000003E-2</v>
      </c>
      <c r="F4" s="40">
        <v>-5.9382114999999996E-4</v>
      </c>
      <c r="G4" s="33">
        <v>1.3349652E-2</v>
      </c>
      <c r="H4" s="36">
        <v>6.0625272000000001E-2</v>
      </c>
    </row>
    <row r="5" spans="1:11">
      <c r="A5" s="56">
        <v>50</v>
      </c>
      <c r="B5" s="53">
        <v>0.69917999999999991</v>
      </c>
      <c r="C5" s="40">
        <v>1.3670624999999999E-5</v>
      </c>
      <c r="D5" s="33">
        <v>1.1370019E-2</v>
      </c>
      <c r="E5" s="36">
        <v>3.5161870999999997E-2</v>
      </c>
      <c r="F5" s="40">
        <v>-5.4833653999999997E-5</v>
      </c>
      <c r="G5" s="33">
        <v>1.3508640000000001E-2</v>
      </c>
      <c r="H5" s="36">
        <v>5.5600355999999997E-2</v>
      </c>
    </row>
    <row r="6" spans="1:11">
      <c r="A6" s="56">
        <v>60</v>
      </c>
      <c r="B6" s="53">
        <v>0.88247999999999993</v>
      </c>
      <c r="C6" s="40">
        <v>-8.4922069000000003E-3</v>
      </c>
      <c r="D6" s="33">
        <v>0.17661792000000001</v>
      </c>
      <c r="E6" s="36">
        <v>0.28646525</v>
      </c>
      <c r="F6" s="40">
        <v>4.451974E-3</v>
      </c>
      <c r="G6" s="33">
        <v>1.4549055E-2</v>
      </c>
      <c r="H6" s="36">
        <v>6.6377221E-2</v>
      </c>
    </row>
    <row r="7" spans="1:11">
      <c r="A7" s="56">
        <v>70</v>
      </c>
      <c r="B7" s="53">
        <v>1.0657799999999999</v>
      </c>
      <c r="C7" s="40">
        <v>-7.6226849999999997E-3</v>
      </c>
      <c r="D7" s="33">
        <v>0.29082523999999998</v>
      </c>
      <c r="E7" s="36">
        <v>0.45521676999999999</v>
      </c>
      <c r="F7" s="40">
        <v>1.0410242E-2</v>
      </c>
      <c r="G7" s="33">
        <v>1.5368616999999999E-2</v>
      </c>
      <c r="H7" s="36">
        <v>6.4817027999999999E-2</v>
      </c>
    </row>
    <row r="8" spans="1:11">
      <c r="A8" s="56">
        <v>80</v>
      </c>
      <c r="B8" s="53">
        <v>1.24908</v>
      </c>
      <c r="C8" s="40">
        <v>-7.1016862000000004E-3</v>
      </c>
      <c r="D8" s="33">
        <v>6.2013319999999997E-2</v>
      </c>
      <c r="E8" s="36">
        <v>0.14280777</v>
      </c>
      <c r="F8" s="40">
        <v>6.6654807999999999E-3</v>
      </c>
      <c r="G8" s="33">
        <v>0.10235964</v>
      </c>
      <c r="H8" s="36">
        <v>0.20377765</v>
      </c>
    </row>
    <row r="9" spans="1:11">
      <c r="A9" s="56">
        <v>90</v>
      </c>
      <c r="B9" s="53">
        <v>1.43238</v>
      </c>
      <c r="C9" s="40">
        <v>-2.8078274999999999E-3</v>
      </c>
      <c r="D9" s="33">
        <v>7.4794582999999998E-2</v>
      </c>
      <c r="E9" s="36">
        <v>0.14665613</v>
      </c>
      <c r="F9" s="40">
        <v>7.5052788E-3</v>
      </c>
      <c r="G9" s="33">
        <v>0.11248342</v>
      </c>
      <c r="H9" s="36">
        <v>0.19846976</v>
      </c>
    </row>
    <row r="10" spans="1:11">
      <c r="A10" s="56">
        <v>100</v>
      </c>
      <c r="B10" s="53">
        <v>1.61568</v>
      </c>
      <c r="C10" s="40">
        <v>-2.1284249999999999E-4</v>
      </c>
      <c r="D10" s="33">
        <v>1.6358554000000001E-2</v>
      </c>
      <c r="E10" s="36">
        <v>6.5807615999999999E-2</v>
      </c>
      <c r="F10" s="40">
        <v>5.4895441999999999E-3</v>
      </c>
      <c r="G10" s="33">
        <v>1.6139437999999999E-2</v>
      </c>
      <c r="H10" s="36">
        <v>6.1267098999999998E-2</v>
      </c>
    </row>
    <row r="11" spans="1:11">
      <c r="A11" s="56">
        <v>110</v>
      </c>
      <c r="B11" s="53">
        <v>1.7989799999999998</v>
      </c>
      <c r="C11" s="40">
        <v>8.0147944000000006E-3</v>
      </c>
      <c r="D11" s="33">
        <v>1.6962926999999999E-2</v>
      </c>
      <c r="E11" s="36">
        <v>6.0451747E-2</v>
      </c>
      <c r="F11" s="40">
        <v>3.7474875E-3</v>
      </c>
      <c r="G11" s="33">
        <v>1.3518990999999999E-2</v>
      </c>
      <c r="H11" s="36">
        <v>5.3833419E-2</v>
      </c>
    </row>
    <row r="12" spans="1:11">
      <c r="A12" s="56">
        <v>120</v>
      </c>
      <c r="B12" s="53">
        <v>1.9822799999999998</v>
      </c>
      <c r="C12" s="40">
        <v>5.9131425000000003E-3</v>
      </c>
      <c r="D12" s="33">
        <v>2.0881226999999999E-2</v>
      </c>
      <c r="E12" s="36">
        <v>6.8828601000000003E-2</v>
      </c>
      <c r="F12" s="40">
        <v>6.0692999999999997E-3</v>
      </c>
      <c r="G12" s="33">
        <v>1.7544247999999998E-2</v>
      </c>
      <c r="H12" s="36">
        <v>8.2250067999999996E-2</v>
      </c>
    </row>
    <row r="13" spans="1:11">
      <c r="A13" s="56">
        <v>140</v>
      </c>
      <c r="B13" s="53">
        <v>2.3488799999999999</v>
      </c>
      <c r="C13" s="40">
        <v>1.2368697999999999E-2</v>
      </c>
      <c r="D13" s="33">
        <v>7.5376807000000004E-2</v>
      </c>
      <c r="E13" s="36">
        <v>0.17240034000000001</v>
      </c>
      <c r="F13" s="40">
        <v>4.5560567E-3</v>
      </c>
      <c r="G13" s="33">
        <v>0.10644066000000001</v>
      </c>
      <c r="H13" s="36">
        <v>0.19826207000000001</v>
      </c>
    </row>
    <row r="14" spans="1:11">
      <c r="A14" s="56">
        <v>160</v>
      </c>
      <c r="B14" s="53">
        <v>2.7154799999999999</v>
      </c>
      <c r="C14" s="40">
        <v>2.1265967E-2</v>
      </c>
      <c r="D14" s="33">
        <v>0.10890477</v>
      </c>
      <c r="E14" s="36">
        <v>0.22075658000000001</v>
      </c>
      <c r="F14" s="40">
        <v>1.4946778999999999E-3</v>
      </c>
      <c r="G14" s="33">
        <v>0.15734195000000001</v>
      </c>
      <c r="H14" s="36">
        <v>0.28874530999999998</v>
      </c>
    </row>
    <row r="15" spans="1:11">
      <c r="A15" s="56">
        <v>180</v>
      </c>
      <c r="B15" s="53">
        <v>3.0820799999999999</v>
      </c>
      <c r="C15" s="40">
        <v>2.7100263999999999E-2</v>
      </c>
      <c r="D15" s="33">
        <v>0.12772258</v>
      </c>
      <c r="E15" s="36">
        <v>0.31595171999999999</v>
      </c>
      <c r="F15" s="40">
        <v>-2.5580654000000001E-3</v>
      </c>
      <c r="G15" s="33">
        <v>0.20540939999999999</v>
      </c>
      <c r="H15" s="36">
        <v>0.35844409999999999</v>
      </c>
    </row>
    <row r="16" spans="1:11">
      <c r="A16" s="56">
        <v>200</v>
      </c>
      <c r="B16" s="53">
        <v>3.44868</v>
      </c>
      <c r="C16" s="40">
        <v>2.6970810000000001E-2</v>
      </c>
      <c r="D16" s="33">
        <v>0.13593664</v>
      </c>
      <c r="E16" s="36">
        <v>0.28517072999999998</v>
      </c>
      <c r="F16" s="40">
        <v>-2.5083980999999998E-3</v>
      </c>
      <c r="G16" s="33">
        <v>0.21752218000000001</v>
      </c>
      <c r="H16" s="36">
        <v>0.34280007000000001</v>
      </c>
    </row>
    <row r="17" spans="1:8">
      <c r="A17" s="56">
        <v>220</v>
      </c>
      <c r="B17" s="53">
        <v>3.8152799999999996</v>
      </c>
      <c r="C17" s="40">
        <v>1.5619137999999999E-2</v>
      </c>
      <c r="D17" s="33">
        <v>9.4248399999999996E-2</v>
      </c>
      <c r="E17" s="36">
        <v>0.27560760000000001</v>
      </c>
      <c r="F17" s="40">
        <v>7.2498201999999998E-3</v>
      </c>
      <c r="G17" s="33">
        <v>0.13222563000000001</v>
      </c>
      <c r="H17" s="36">
        <v>0.29109429999999997</v>
      </c>
    </row>
    <row r="18" spans="1:8">
      <c r="A18" s="56">
        <v>240</v>
      </c>
      <c r="B18" s="53">
        <v>4.1818799999999996</v>
      </c>
      <c r="C18" s="40">
        <v>1.8219951000000002E-2</v>
      </c>
      <c r="D18" s="33">
        <v>7.4966242000000002E-2</v>
      </c>
      <c r="E18" s="36">
        <v>0.23026990999999999</v>
      </c>
      <c r="F18" s="40">
        <v>3.4582298E-3</v>
      </c>
      <c r="G18" s="33">
        <v>2.1046974999999999E-2</v>
      </c>
      <c r="H18" s="36">
        <v>8.6231907999999996E-2</v>
      </c>
    </row>
    <row r="19" spans="1:8">
      <c r="A19" s="56">
        <v>260</v>
      </c>
      <c r="B19" s="53">
        <v>4.5484799999999996</v>
      </c>
      <c r="C19" s="40">
        <v>9.6347119000000005E-3</v>
      </c>
      <c r="D19" s="33">
        <v>0.1009833</v>
      </c>
      <c r="E19" s="36">
        <v>0.30735567000000003</v>
      </c>
      <c r="F19" s="40">
        <v>1.6513413000000001E-3</v>
      </c>
      <c r="G19" s="33">
        <v>2.3934090000000002E-2</v>
      </c>
      <c r="H19" s="36">
        <v>8.5297258000000001E-2</v>
      </c>
    </row>
    <row r="20" spans="1:8">
      <c r="A20" s="56">
        <v>280</v>
      </c>
      <c r="B20" s="53">
        <v>4.9150799999999997</v>
      </c>
      <c r="C20" s="40">
        <v>2.1285906E-2</v>
      </c>
      <c r="D20" s="33">
        <v>0.11201513</v>
      </c>
      <c r="E20" s="36">
        <v>0.35317535999999999</v>
      </c>
      <c r="F20" s="40">
        <v>1.5152913000000001E-3</v>
      </c>
      <c r="G20" s="33">
        <v>2.0685731999999998E-2</v>
      </c>
      <c r="H20" s="36">
        <v>8.8174846000000001E-2</v>
      </c>
    </row>
    <row r="21" spans="1:8">
      <c r="A21" s="56">
        <v>300</v>
      </c>
      <c r="B21" s="53">
        <v>5.2816799999999997</v>
      </c>
      <c r="C21" s="40">
        <v>2.759052E-2</v>
      </c>
      <c r="D21" s="33">
        <v>0.10055419</v>
      </c>
      <c r="E21" s="36">
        <v>0.32176097999999997</v>
      </c>
      <c r="F21" s="40">
        <v>5.9232807999999998E-3</v>
      </c>
      <c r="G21" s="33">
        <v>5.5421133999999997E-2</v>
      </c>
      <c r="H21" s="36">
        <v>0.16229531999999999</v>
      </c>
    </row>
    <row r="22" spans="1:8" ht="14.25" thickBot="1">
      <c r="A22" s="57">
        <v>320</v>
      </c>
      <c r="B22" s="54">
        <v>5.6482799999999997</v>
      </c>
      <c r="C22" s="41">
        <v>0.16477512</v>
      </c>
      <c r="D22" s="42">
        <v>0.35752656999999999</v>
      </c>
      <c r="E22" s="38">
        <v>0.68443692</v>
      </c>
      <c r="F22" s="41">
        <v>1.4394479E-2</v>
      </c>
      <c r="G22" s="42">
        <v>0.86837262000000004</v>
      </c>
      <c r="H22" s="38">
        <v>1.2873672</v>
      </c>
    </row>
  </sheetData>
  <mergeCells count="4">
    <mergeCell ref="F1:H1"/>
    <mergeCell ref="C1:E1"/>
    <mergeCell ref="A1:A2"/>
    <mergeCell ref="B1:B2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등류</vt:lpstr>
      <vt:lpstr>result</vt:lpstr>
    </vt:vector>
  </TitlesOfParts>
  <Company>내풍구조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김재민</dc:creator>
  <cp:lastModifiedBy>USER</cp:lastModifiedBy>
  <dcterms:created xsi:type="dcterms:W3CDTF">2011-01-21T10:07:58Z</dcterms:created>
  <dcterms:modified xsi:type="dcterms:W3CDTF">2025-09-21T05:06:05Z</dcterms:modified>
</cp:coreProperties>
</file>