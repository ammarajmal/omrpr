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/>
  <bookViews>
    <workbookView xWindow="-120" yWindow="-120" windowWidth="29040" windowHeight="15840"/>
  </bookViews>
  <sheets>
    <sheet name="도로교시방서" sheetId="2" r:id="rId1"/>
    <sheet name="일본 도로교 내풍설계편람" sheetId="6" r:id="rId2"/>
    <sheet name="혼슈-시코쿠 기준" sheetId="5" r:id="rId3"/>
    <sheet name="대한건축학회" sheetId="4" r:id="rId4"/>
    <sheet name="모형 Setup! (2)" sheetId="10" r:id="rId5"/>
  </sheets>
  <definedNames>
    <definedName name="_xlnm.Print_Area" localSheetId="3">대한건축학회!$A$1:$H$77</definedName>
    <definedName name="_xlnm.Print_Area" localSheetId="0">#REF!</definedName>
    <definedName name="_xlnm.Print_Area" localSheetId="4">'모형 Setup! (2)'!$A$1:$G$11</definedName>
    <definedName name="_xlnm.Print_Area" localSheetId="2">'혼슈-시코쿠 기준'!$A$1:$G$52</definedName>
  </definedNames>
  <calcPr calcId="144525"/>
</workbook>
</file>

<file path=xl/calcChain.xml><?xml version="1.0" encoding="utf-8"?>
<calcChain xmlns="http://schemas.openxmlformats.org/spreadsheetml/2006/main">
  <c r="M17" i="10" l="1"/>
  <c r="E14" i="10" l="1"/>
  <c r="K7" i="10" l="1"/>
  <c r="K9" i="10" s="1"/>
  <c r="C9" i="10" l="1"/>
  <c r="S29" i="10"/>
  <c r="S27" i="10"/>
  <c r="R29" i="10"/>
  <c r="R27" i="10"/>
  <c r="L23" i="10" l="1"/>
  <c r="E15" i="10" l="1"/>
  <c r="B32" i="2" l="1"/>
  <c r="P17" i="10" l="1"/>
  <c r="F27" i="10"/>
  <c r="O18" i="10"/>
  <c r="N18" i="10"/>
  <c r="O17" i="10"/>
  <c r="N17" i="10"/>
  <c r="L24" i="10"/>
  <c r="E8" i="10"/>
  <c r="J29" i="10" s="1"/>
  <c r="E7" i="10"/>
  <c r="J28" i="10" s="1"/>
  <c r="E6" i="10"/>
  <c r="E5" i="10"/>
  <c r="L10" i="10" s="1"/>
  <c r="E4" i="10"/>
  <c r="M16" i="10" s="1"/>
  <c r="K10" i="10" l="1"/>
  <c r="N19" i="10" s="1"/>
  <c r="F26" i="10"/>
  <c r="O20" i="10"/>
  <c r="P20" i="10"/>
  <c r="H28" i="10"/>
  <c r="K11" i="10"/>
  <c r="K12" i="10"/>
  <c r="N20" i="10"/>
  <c r="F24" i="10"/>
  <c r="G14" i="10"/>
  <c r="L9" i="10"/>
  <c r="P18" i="10"/>
  <c r="E19" i="10"/>
  <c r="E20" i="10"/>
  <c r="G25" i="10" s="1"/>
  <c r="F25" i="10"/>
  <c r="G6" i="10"/>
  <c r="E9" i="10"/>
  <c r="G12" i="10"/>
  <c r="M15" i="10"/>
  <c r="M24" i="10"/>
  <c r="H27" i="10"/>
  <c r="L8" i="10" l="1"/>
  <c r="M10" i="10"/>
  <c r="P19" i="10"/>
  <c r="P21" i="10" s="1"/>
  <c r="O19" i="10"/>
  <c r="O21" i="10" s="1"/>
  <c r="F29" i="10"/>
  <c r="F28" i="10"/>
  <c r="N21" i="10"/>
  <c r="N22" i="10"/>
  <c r="O22" i="10"/>
  <c r="P22" i="10"/>
  <c r="I23" i="10"/>
  <c r="G26" i="10"/>
  <c r="B77" i="4" l="1"/>
  <c r="E32" i="2"/>
  <c r="D32" i="2"/>
  <c r="C32" i="2"/>
  <c r="D71" i="4"/>
  <c r="C77" i="4" s="1"/>
  <c r="D77" i="4"/>
  <c r="E77" i="4"/>
  <c r="B66" i="4"/>
  <c r="A41" i="6"/>
  <c r="D46" i="6"/>
  <c r="D45" i="6"/>
  <c r="D44" i="6"/>
  <c r="B50" i="6" s="1"/>
  <c r="B34" i="5"/>
  <c r="D37" i="5"/>
  <c r="C43" i="5" s="1"/>
  <c r="B43" i="5"/>
  <c r="D43" i="5"/>
  <c r="E43" i="5"/>
  <c r="F32" i="2" l="1"/>
  <c r="C50" i="6"/>
  <c r="D50" i="6" s="1"/>
  <c r="F77" i="4"/>
  <c r="F43" i="5"/>
  <c r="C63" i="6"/>
  <c r="C10" i="10" l="1"/>
  <c r="C11" i="10" s="1"/>
  <c r="E10" i="10" l="1"/>
  <c r="E11" i="10"/>
</calcChain>
</file>

<file path=xl/sharedStrings.xml><?xml version="1.0" encoding="utf-8"?>
<sst xmlns="http://schemas.openxmlformats.org/spreadsheetml/2006/main" count="415" uniqueCount="282">
  <si>
    <t>해설 표 2.11.1</t>
    <phoneticPr fontId="1" type="noConversion"/>
  </si>
  <si>
    <t>지역별 기본풍속</t>
    <phoneticPr fontId="1" type="noConversion"/>
  </si>
  <si>
    <t>구 분</t>
    <phoneticPr fontId="1" type="noConversion"/>
  </si>
  <si>
    <t>지 역</t>
    <phoneticPr fontId="1" type="noConversion"/>
  </si>
  <si>
    <t>지 명</t>
    <phoneticPr fontId="1" type="noConversion"/>
  </si>
  <si>
    <t>기본 풍속(m/s)</t>
    <phoneticPr fontId="1" type="noConversion"/>
  </si>
  <si>
    <t>I</t>
    <phoneticPr fontId="1" type="noConversion"/>
  </si>
  <si>
    <t>II</t>
    <phoneticPr fontId="1" type="noConversion"/>
  </si>
  <si>
    <t>III</t>
    <phoneticPr fontId="1" type="noConversion"/>
  </si>
  <si>
    <t>IV</t>
    <phoneticPr fontId="1" type="noConversion"/>
  </si>
  <si>
    <t>V</t>
    <phoneticPr fontId="1" type="noConversion"/>
  </si>
  <si>
    <t>내륙</t>
    <phoneticPr fontId="1" type="noConversion"/>
  </si>
  <si>
    <t>서해안</t>
    <phoneticPr fontId="1" type="noConversion"/>
  </si>
  <si>
    <t>서남해안
남해안
동남해안</t>
    <phoneticPr fontId="1" type="noConversion"/>
  </si>
  <si>
    <t>동해안
제주지역
특수지역</t>
    <phoneticPr fontId="1" type="noConversion"/>
  </si>
  <si>
    <t xml:space="preserve"> 서울, 대구, 대전, 춘천, 청주, 수원
 추풍령, 전주, 이리, 진주, 광주</t>
    <phoneticPr fontId="1" type="noConversion"/>
  </si>
  <si>
    <t xml:space="preserve"> 서산, 인천</t>
    <phoneticPr fontId="1" type="noConversion"/>
  </si>
  <si>
    <t xml:space="preserve"> 군산, 여수, 충무, 부산, 포항, 울산</t>
    <phoneticPr fontId="1" type="noConversion"/>
  </si>
  <si>
    <t xml:space="preserve"> 속초, 강릉, 제주, 서귀포, 목포</t>
    <phoneticPr fontId="1" type="noConversion"/>
  </si>
  <si>
    <t xml:space="preserve"> 울릉도</t>
    <phoneticPr fontId="1" type="noConversion"/>
  </si>
  <si>
    <t>해설 표 2.11.2</t>
    <phoneticPr fontId="1" type="noConversion"/>
  </si>
  <si>
    <t>해설 표 2.11.1</t>
    <phoneticPr fontId="1" type="noConversion"/>
  </si>
  <si>
    <t>지역별 기본풍속</t>
    <phoneticPr fontId="1" type="noConversion"/>
  </si>
  <si>
    <r>
      <t>지표조도구분에 의한 α, Z</t>
    </r>
    <r>
      <rPr>
        <b/>
        <vertAlign val="subscript"/>
        <sz val="9"/>
        <rFont val="돋움"/>
        <family val="3"/>
        <charset val="129"/>
      </rPr>
      <t>G</t>
    </r>
    <r>
      <rPr>
        <b/>
        <sz val="9"/>
        <rFont val="돋움"/>
        <family val="3"/>
        <charset val="129"/>
      </rPr>
      <t>, Z</t>
    </r>
    <r>
      <rPr>
        <b/>
        <vertAlign val="subscript"/>
        <sz val="9"/>
        <rFont val="돋움"/>
        <family val="3"/>
        <charset val="129"/>
      </rPr>
      <t>b</t>
    </r>
    <r>
      <rPr>
        <b/>
        <sz val="9"/>
        <rFont val="돋움"/>
        <family val="3"/>
        <charset val="129"/>
      </rPr>
      <t xml:space="preserve"> 의 값</t>
    </r>
    <phoneticPr fontId="1" type="noConversion"/>
  </si>
  <si>
    <t>지표 상황</t>
    <phoneticPr fontId="1" type="noConversion"/>
  </si>
  <si>
    <t>α</t>
  </si>
  <si>
    <t>조도</t>
    <phoneticPr fontId="1" type="noConversion"/>
  </si>
  <si>
    <t>해상, 해안</t>
    <phoneticPr fontId="1" type="noConversion"/>
  </si>
  <si>
    <t>개활지, 농지, 전원
수목과저층건축물이 산재하여 있는 지역</t>
    <phoneticPr fontId="1" type="noConversion"/>
  </si>
  <si>
    <t>수목과 저층건축물이밀집하여 있는 지역
중, 고층 건물이산재하여 있는 지역
완만한 구릉지</t>
    <phoneticPr fontId="1" type="noConversion"/>
  </si>
  <si>
    <t>중, 고층 건물이 밀집하여 있는 지역
기목이 심한 구릉지</t>
    <phoneticPr fontId="1" type="noConversion"/>
  </si>
  <si>
    <r>
      <t>Z</t>
    </r>
    <r>
      <rPr>
        <vertAlign val="subscript"/>
        <sz val="9"/>
        <rFont val="돋움"/>
        <family val="3"/>
        <charset val="129"/>
      </rPr>
      <t>b</t>
    </r>
    <r>
      <rPr>
        <sz val="9"/>
        <rFont val="돋움"/>
        <family val="3"/>
        <charset val="129"/>
      </rPr>
      <t>(m)</t>
    </r>
    <phoneticPr fontId="1" type="noConversion"/>
  </si>
  <si>
    <r>
      <t>Z</t>
    </r>
    <r>
      <rPr>
        <vertAlign val="subscript"/>
        <sz val="9"/>
        <rFont val="돋움"/>
        <family val="3"/>
        <charset val="129"/>
      </rPr>
      <t>G</t>
    </r>
    <r>
      <rPr>
        <sz val="9"/>
        <rFont val="돋움"/>
        <family val="3"/>
        <charset val="129"/>
      </rPr>
      <t>(m)</t>
    </r>
    <phoneticPr fontId="1" type="noConversion"/>
  </si>
  <si>
    <t>작다</t>
    <phoneticPr fontId="1" type="noConversion"/>
  </si>
  <si>
    <t>크다</t>
    <phoneticPr fontId="1" type="noConversion"/>
  </si>
  <si>
    <t>설계기준풍속</t>
    <phoneticPr fontId="1" type="noConversion"/>
  </si>
  <si>
    <t>설계기준풍속(m/s)</t>
    <phoneticPr fontId="1" type="noConversion"/>
  </si>
  <si>
    <t>Vd =</t>
    <phoneticPr fontId="1" type="noConversion"/>
  </si>
  <si>
    <r>
      <t>1.925(z/z</t>
    </r>
    <r>
      <rPr>
        <vertAlign val="subscript"/>
        <sz val="9"/>
        <rFont val="돋움"/>
        <family val="3"/>
        <charset val="129"/>
      </rPr>
      <t>G</t>
    </r>
    <r>
      <rPr>
        <sz val="9"/>
        <rFont val="돋움"/>
        <family val="3"/>
        <charset val="129"/>
      </rPr>
      <t>)</t>
    </r>
    <r>
      <rPr>
        <vertAlign val="superscript"/>
        <sz val="9"/>
        <rFont val="돋움"/>
        <family val="3"/>
        <charset val="129"/>
      </rPr>
      <t>α</t>
    </r>
    <r>
      <rPr>
        <sz val="9"/>
        <rFont val="돋움"/>
        <family val="3"/>
        <charset val="129"/>
      </rPr>
      <t>V</t>
    </r>
    <r>
      <rPr>
        <vertAlign val="subscript"/>
        <sz val="9"/>
        <rFont val="돋움"/>
        <family val="3"/>
        <charset val="129"/>
      </rPr>
      <t>10</t>
    </r>
    <phoneticPr fontId="1" type="noConversion"/>
  </si>
  <si>
    <r>
      <t>1.925(z</t>
    </r>
    <r>
      <rPr>
        <vertAlign val="subscript"/>
        <sz val="9"/>
        <rFont val="돋움"/>
        <family val="3"/>
        <charset val="129"/>
      </rPr>
      <t>b</t>
    </r>
    <r>
      <rPr>
        <sz val="9"/>
        <rFont val="돋움"/>
        <family val="3"/>
        <charset val="129"/>
      </rPr>
      <t>/z</t>
    </r>
    <r>
      <rPr>
        <vertAlign val="subscript"/>
        <sz val="9"/>
        <rFont val="돋움"/>
        <family val="3"/>
        <charset val="129"/>
      </rPr>
      <t>G</t>
    </r>
    <r>
      <rPr>
        <sz val="9"/>
        <rFont val="돋움"/>
        <family val="3"/>
        <charset val="129"/>
      </rPr>
      <t>)</t>
    </r>
    <r>
      <rPr>
        <vertAlign val="superscript"/>
        <sz val="9"/>
        <rFont val="돋움"/>
        <family val="3"/>
        <charset val="129"/>
      </rPr>
      <t>α</t>
    </r>
    <r>
      <rPr>
        <sz val="9"/>
        <rFont val="돋움"/>
        <family val="3"/>
        <charset val="129"/>
      </rPr>
      <t>V</t>
    </r>
    <r>
      <rPr>
        <vertAlign val="subscript"/>
        <sz val="9"/>
        <rFont val="돋움"/>
        <family val="3"/>
        <charset val="129"/>
      </rPr>
      <t>10</t>
    </r>
    <phoneticPr fontId="1" type="noConversion"/>
  </si>
  <si>
    <r>
      <t>, z ≥ z</t>
    </r>
    <r>
      <rPr>
        <vertAlign val="subscript"/>
        <sz val="9"/>
        <rFont val="돋움"/>
        <family val="3"/>
        <charset val="129"/>
      </rPr>
      <t>b</t>
    </r>
    <phoneticPr fontId="1" type="noConversion"/>
  </si>
  <si>
    <r>
      <t>, z &lt; z</t>
    </r>
    <r>
      <rPr>
        <vertAlign val="subscript"/>
        <sz val="9"/>
        <rFont val="돋움"/>
        <family val="3"/>
        <charset val="129"/>
      </rPr>
      <t>b</t>
    </r>
    <phoneticPr fontId="1" type="noConversion"/>
  </si>
  <si>
    <t>지역구분</t>
    <phoneticPr fontId="1" type="noConversion"/>
  </si>
  <si>
    <t>지표조도구분</t>
    <phoneticPr fontId="1" type="noConversion"/>
  </si>
  <si>
    <t>고도(m)</t>
    <phoneticPr fontId="1" type="noConversion"/>
  </si>
  <si>
    <t>입 력</t>
    <phoneticPr fontId="1" type="noConversion"/>
  </si>
  <si>
    <t>기본 풍속</t>
    <phoneticPr fontId="1" type="noConversion"/>
  </si>
  <si>
    <t>설계기준풍속(m/s)</t>
    <phoneticPr fontId="1" type="noConversion"/>
  </si>
  <si>
    <t>표-2.1</t>
    <phoneticPr fontId="1" type="noConversion"/>
  </si>
  <si>
    <t>지표조도계수</t>
    <phoneticPr fontId="1" type="noConversion"/>
  </si>
  <si>
    <t xml:space="preserve">   2) 지표조도계수</t>
    <phoneticPr fontId="1" type="noConversion"/>
  </si>
  <si>
    <t xml:space="preserve">   1) 기본풍속</t>
    <phoneticPr fontId="1" type="noConversion"/>
  </si>
  <si>
    <r>
      <t xml:space="preserve">   3) 보정계수 E</t>
    </r>
    <r>
      <rPr>
        <vertAlign val="subscript"/>
        <sz val="9"/>
        <rFont val="돋움"/>
        <family val="3"/>
        <charset val="129"/>
      </rPr>
      <t>1</t>
    </r>
    <phoneticPr fontId="1" type="noConversion"/>
  </si>
  <si>
    <t>표-2.2</t>
    <phoneticPr fontId="1" type="noConversion"/>
  </si>
  <si>
    <t xml:space="preserve">   4) 설계기준풍속(m/s)</t>
    <phoneticPr fontId="1" type="noConversion"/>
  </si>
  <si>
    <t xml:space="preserve">   4) 설계기준풍속(m/s)</t>
    <phoneticPr fontId="1" type="noConversion"/>
  </si>
  <si>
    <r>
      <t>E</t>
    </r>
    <r>
      <rPr>
        <vertAlign val="subscript"/>
        <sz val="9"/>
        <rFont val="돋움"/>
        <family val="3"/>
        <charset val="129"/>
      </rPr>
      <t>1</t>
    </r>
    <r>
      <rPr>
        <sz val="9"/>
        <rFont val="돋움"/>
        <family val="3"/>
        <charset val="129"/>
      </rPr>
      <t>*U</t>
    </r>
    <r>
      <rPr>
        <vertAlign val="subscript"/>
        <sz val="9"/>
        <rFont val="돋움"/>
        <family val="3"/>
        <charset val="129"/>
      </rPr>
      <t>10</t>
    </r>
    <phoneticPr fontId="1" type="noConversion"/>
  </si>
  <si>
    <r>
      <t>U</t>
    </r>
    <r>
      <rPr>
        <vertAlign val="subscript"/>
        <sz val="9"/>
        <rFont val="돋움"/>
        <family val="3"/>
        <charset val="129"/>
      </rPr>
      <t>d</t>
    </r>
    <r>
      <rPr>
        <sz val="9"/>
        <rFont val="돋움"/>
        <family val="3"/>
        <charset val="129"/>
      </rPr>
      <t xml:space="preserve"> =</t>
    </r>
    <phoneticPr fontId="1" type="noConversion"/>
  </si>
  <si>
    <r>
      <t>E</t>
    </r>
    <r>
      <rPr>
        <vertAlign val="subscript"/>
        <sz val="9"/>
        <rFont val="돋움"/>
        <family val="3"/>
        <charset val="129"/>
      </rPr>
      <t>1</t>
    </r>
    <phoneticPr fontId="1" type="noConversion"/>
  </si>
  <si>
    <r>
      <t>I</t>
    </r>
    <r>
      <rPr>
        <vertAlign val="subscript"/>
        <sz val="9"/>
        <rFont val="돋움"/>
        <family val="3"/>
        <charset val="129"/>
      </rPr>
      <t>u</t>
    </r>
    <r>
      <rPr>
        <sz val="9"/>
        <rFont val="돋움"/>
        <family val="3"/>
        <charset val="129"/>
      </rPr>
      <t xml:space="preserve"> =</t>
    </r>
    <phoneticPr fontId="1" type="noConversion"/>
  </si>
  <si>
    <t>표-2.3</t>
    <phoneticPr fontId="1" type="noConversion"/>
  </si>
  <si>
    <t xml:space="preserve">   2) 고도에 의한 보정계수</t>
    <phoneticPr fontId="1" type="noConversion"/>
  </si>
  <si>
    <r>
      <t>고도보정계수 ν</t>
    </r>
    <r>
      <rPr>
        <b/>
        <vertAlign val="subscript"/>
        <sz val="9"/>
        <rFont val="돋움"/>
        <family val="3"/>
        <charset val="129"/>
      </rPr>
      <t>1</t>
    </r>
    <phoneticPr fontId="1" type="noConversion"/>
  </si>
  <si>
    <r>
      <t>ν</t>
    </r>
    <r>
      <rPr>
        <vertAlign val="subscript"/>
        <sz val="9"/>
        <rFont val="돋움"/>
        <family val="3"/>
        <charset val="129"/>
      </rPr>
      <t>1</t>
    </r>
    <phoneticPr fontId="1" type="noConversion"/>
  </si>
  <si>
    <t>수평길이(m)</t>
    <phoneticPr fontId="1" type="noConversion"/>
  </si>
  <si>
    <r>
      <t>ν</t>
    </r>
    <r>
      <rPr>
        <vertAlign val="subscript"/>
        <sz val="9"/>
        <rFont val="돋움"/>
        <family val="3"/>
        <charset val="129"/>
      </rPr>
      <t>2</t>
    </r>
    <phoneticPr fontId="1" type="noConversion"/>
  </si>
  <si>
    <t>연직길이(m)</t>
    <phoneticPr fontId="1" type="noConversion"/>
  </si>
  <si>
    <r>
      <t>ν</t>
    </r>
    <r>
      <rPr>
        <vertAlign val="subscript"/>
        <sz val="9"/>
        <rFont val="돋움"/>
        <family val="3"/>
        <charset val="129"/>
      </rPr>
      <t>3</t>
    </r>
    <phoneticPr fontId="1" type="noConversion"/>
  </si>
  <si>
    <t xml:space="preserve">   3) 설계기준풍속(m/s)</t>
    <phoneticPr fontId="1" type="noConversion"/>
  </si>
  <si>
    <r>
      <t>V</t>
    </r>
    <r>
      <rPr>
        <vertAlign val="subscript"/>
        <sz val="9"/>
        <rFont val="돋움"/>
        <family val="3"/>
        <charset val="129"/>
      </rPr>
      <t>d</t>
    </r>
    <r>
      <rPr>
        <sz val="9"/>
        <rFont val="돋움"/>
        <family val="3"/>
        <charset val="129"/>
      </rPr>
      <t xml:space="preserve"> =</t>
    </r>
    <phoneticPr fontId="1" type="noConversion"/>
  </si>
  <si>
    <r>
      <t>ν</t>
    </r>
    <r>
      <rPr>
        <vertAlign val="subscript"/>
        <sz val="9"/>
        <rFont val="돋움"/>
        <family val="3"/>
        <charset val="129"/>
      </rPr>
      <t>1</t>
    </r>
    <r>
      <rPr>
        <sz val="9"/>
        <rFont val="돋움"/>
        <family val="3"/>
        <charset val="129"/>
      </rPr>
      <t>*ν</t>
    </r>
    <r>
      <rPr>
        <vertAlign val="subscript"/>
        <sz val="9"/>
        <rFont val="돋움"/>
        <family val="3"/>
        <charset val="129"/>
      </rPr>
      <t>2</t>
    </r>
    <r>
      <rPr>
        <sz val="9"/>
        <rFont val="돋움"/>
        <family val="3"/>
        <charset val="129"/>
      </rPr>
      <t>*U</t>
    </r>
    <r>
      <rPr>
        <vertAlign val="subscript"/>
        <sz val="9"/>
        <rFont val="돋움"/>
        <family val="3"/>
        <charset val="129"/>
      </rPr>
      <t>10</t>
    </r>
    <phoneticPr fontId="1" type="noConversion"/>
  </si>
  <si>
    <t>; 수평방향으로 긴 구조물</t>
    <phoneticPr fontId="1" type="noConversion"/>
  </si>
  <si>
    <t>; 수직방향으로 긴 구조물</t>
    <phoneticPr fontId="1" type="noConversion"/>
  </si>
  <si>
    <t>수직길이(m)</t>
    <phoneticPr fontId="1" type="noConversion"/>
  </si>
  <si>
    <r>
      <t>ν</t>
    </r>
    <r>
      <rPr>
        <vertAlign val="subscript"/>
        <sz val="9"/>
        <rFont val="돋움"/>
        <family val="3"/>
        <charset val="129"/>
      </rPr>
      <t>2</t>
    </r>
    <r>
      <rPr>
        <sz val="11"/>
        <rFont val="돋움"/>
        <family val="3"/>
        <charset val="129"/>
      </rPr>
      <t/>
    </r>
  </si>
  <si>
    <r>
      <t>ν</t>
    </r>
    <r>
      <rPr>
        <vertAlign val="subscript"/>
        <sz val="9"/>
        <rFont val="돋움"/>
        <family val="3"/>
        <charset val="129"/>
      </rPr>
      <t>3</t>
    </r>
    <r>
      <rPr>
        <sz val="11"/>
        <rFont val="돋움"/>
        <family val="3"/>
        <charset val="129"/>
      </rPr>
      <t/>
    </r>
  </si>
  <si>
    <t>기본풍속</t>
    <phoneticPr fontId="1" type="noConversion"/>
  </si>
  <si>
    <t>보정계수</t>
    <phoneticPr fontId="1" type="noConversion"/>
  </si>
  <si>
    <t>참고</t>
    <phoneticPr fontId="1" type="noConversion"/>
  </si>
  <si>
    <t>현수교, 사장교</t>
    <phoneticPr fontId="1" type="noConversion"/>
  </si>
  <si>
    <t>보강형: 중앙경간의 평균고도</t>
    <phoneticPr fontId="1" type="noConversion"/>
  </si>
  <si>
    <t>그 외 교량</t>
    <phoneticPr fontId="1" type="noConversion"/>
  </si>
  <si>
    <t>케이블: 중앙경간 보강형 평균고도와
탑정고도의 평균고도</t>
    <phoneticPr fontId="1" type="noConversion"/>
  </si>
  <si>
    <t>지점평균고도+(구조물 최대
고도-지점의 평균고도)*0.8</t>
    <phoneticPr fontId="1" type="noConversion"/>
  </si>
  <si>
    <t>주탑: 탑고의 65% 고도</t>
    <phoneticPr fontId="1" type="noConversion"/>
  </si>
  <si>
    <t>중앙경간길이</t>
    <phoneticPr fontId="1" type="noConversion"/>
  </si>
  <si>
    <t>주탑 높이</t>
    <phoneticPr fontId="1" type="noConversion"/>
  </si>
  <si>
    <t>-</t>
    <phoneticPr fontId="1" type="noConversion"/>
  </si>
  <si>
    <t>제원</t>
    <phoneticPr fontId="1" type="noConversion"/>
  </si>
  <si>
    <t>설계기준풍속</t>
    <phoneticPr fontId="1" type="noConversion"/>
  </si>
  <si>
    <r>
      <t>보정계수 E</t>
    </r>
    <r>
      <rPr>
        <b/>
        <vertAlign val="subscript"/>
        <sz val="9"/>
        <rFont val="돋움"/>
        <family val="3"/>
        <charset val="129"/>
      </rPr>
      <t>1</t>
    </r>
    <phoneticPr fontId="1" type="noConversion"/>
  </si>
  <si>
    <r>
      <t xml:space="preserve">   5) 난류강도 I</t>
    </r>
    <r>
      <rPr>
        <vertAlign val="subscript"/>
        <sz val="9"/>
        <rFont val="돋움"/>
        <family val="3"/>
        <charset val="129"/>
      </rPr>
      <t>u</t>
    </r>
    <phoneticPr fontId="1" type="noConversion"/>
  </si>
  <si>
    <r>
      <t>난류강도 I</t>
    </r>
    <r>
      <rPr>
        <b/>
        <vertAlign val="subscript"/>
        <sz val="9"/>
        <rFont val="돋움"/>
        <family val="3"/>
        <charset val="129"/>
      </rPr>
      <t>u</t>
    </r>
    <phoneticPr fontId="1" type="noConversion"/>
  </si>
  <si>
    <t>전라도</t>
    <phoneticPr fontId="1" type="noConversion"/>
  </si>
  <si>
    <t>경상도</t>
    <phoneticPr fontId="1" type="noConversion"/>
  </si>
  <si>
    <t>충청도</t>
    <phoneticPr fontId="1" type="noConversion"/>
  </si>
  <si>
    <t>강원도</t>
    <phoneticPr fontId="1" type="noConversion"/>
  </si>
  <si>
    <t>서울, 경기도</t>
    <phoneticPr fontId="1" type="noConversion"/>
  </si>
  <si>
    <t>제주도</t>
    <phoneticPr fontId="1" type="noConversion"/>
  </si>
  <si>
    <t>서울, 인천, 김포, 부천, 부평, 구리, 오산, 송탄, 평택, 시흥,
과천, 안양, 수원, 안산, 군포, 의왕, 안성, 강화</t>
    <phoneticPr fontId="1" type="noConversion"/>
  </si>
  <si>
    <t>양평, 성남, 하남, 용인, 의정부, 동두천, 포천, 파주, 광주, 기흥,
미금, 여주, 이천, 신갈, 장호원</t>
    <phoneticPr fontId="1" type="noConversion"/>
  </si>
  <si>
    <t>속초, 강릉, 양양, 주문진</t>
    <phoneticPr fontId="1" type="noConversion"/>
  </si>
  <si>
    <t>거진, 간성, 동해, 삼척, 원덕</t>
    <phoneticPr fontId="1" type="noConversion"/>
  </si>
  <si>
    <t>춘천, 화천, 양구, 철원, 김화, 인제, 영월, 정선, 태백, 원주, 평창, 홍천</t>
    <phoneticPr fontId="1" type="noConversion"/>
  </si>
  <si>
    <t>장항</t>
    <phoneticPr fontId="1" type="noConversion"/>
  </si>
  <si>
    <t>태안, 서산, 청주, 대천, 서천, 안면도, 조치원, 천안, 홍성, 광천, 아산</t>
    <phoneticPr fontId="1" type="noConversion"/>
  </si>
  <si>
    <t>대전, 당진, 합덕, 성환, 진천, 증평, 온양</t>
    <phoneticPr fontId="1" type="noConversion"/>
  </si>
  <si>
    <t>음성, 청양, 금산, 영동, 공주, 논산, 제천, 충주, 부여, 보은, 단양, 괴산, 옥천</t>
    <phoneticPr fontId="1" type="noConversion"/>
  </si>
  <si>
    <t>포항, 울릉도, 구룡포, 오천, 홍해, 감포</t>
    <phoneticPr fontId="1" type="noConversion"/>
  </si>
  <si>
    <t>부산, 기장, 장안, 연일, 외동, 가덕도</t>
    <phoneticPr fontId="1" type="noConversion"/>
  </si>
  <si>
    <t>울산, 통영, 거제 고성, 진해, 김해, 마산, 창원, 양산, 진영, 울진,
평해, 안강, 경주, 남해, 삼천포</t>
    <phoneticPr fontId="1" type="noConversion"/>
  </si>
  <si>
    <t>건천, 가야, 삼랑진, 영덕, 사천</t>
    <phoneticPr fontId="1" type="noConversion"/>
  </si>
  <si>
    <t>대구, 영주, 구미, 김천, 영천, 안동, 봉화, 풍기, 예천, 청송, 양양,
하양, 경산, 청도, 남지, 의령, 추풍령, 상주, 선산, 군위, 의성, 문경,
점촌, 함창, 진주, 거창, 함양, 산청, 고령, 창녕, 합천, 밀양</t>
    <phoneticPr fontId="1" type="noConversion"/>
  </si>
  <si>
    <t>군산, 미성</t>
    <phoneticPr fontId="1" type="noConversion"/>
  </si>
  <si>
    <t>목포, 여수, 완도, 진도, 옥구, 노화, 익산, 금일, 해남, 관산, 대덕, 도양, 고흥</t>
    <phoneticPr fontId="1" type="noConversion"/>
  </si>
  <si>
    <t>광주, 나주, 화순, 영암, 일노, 강진, 장흥, 보성, 벌교, 순천, 광양, 무안,
함평, 영광</t>
    <phoneticPr fontId="1" type="noConversion"/>
  </si>
  <si>
    <t>전주, 함열, 진안, 무주, 삼레, 담양, 부안, 남원, 순창, 구례, 고창, 정주,
장수, 승주, 임실, 태인</t>
    <phoneticPr fontId="1" type="noConversion"/>
  </si>
  <si>
    <t>전지역</t>
    <phoneticPr fontId="1" type="noConversion"/>
  </si>
  <si>
    <t xml:space="preserve">   2) 풍속의 고도분포계수</t>
    <phoneticPr fontId="1" type="noConversion"/>
  </si>
  <si>
    <t>표 5.1</t>
    <phoneticPr fontId="1" type="noConversion"/>
  </si>
  <si>
    <t>표 5.2</t>
    <phoneticPr fontId="1" type="noConversion"/>
  </si>
  <si>
    <t>노풍도 구분</t>
    <phoneticPr fontId="1" type="noConversion"/>
  </si>
  <si>
    <t>노풍도구분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</si>
  <si>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</si>
  <si>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</si>
  <si>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</si>
  <si>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</si>
  <si>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주변지역의 지표면 상태</t>
    <phoneticPr fontId="1" type="noConversion"/>
  </si>
  <si>
    <t>대도시 중심부에서 10층이상의 대규모 고층건물이 밀집해 있는 지역</t>
    <phoneticPr fontId="1" type="noConversion"/>
  </si>
  <si>
    <t>높이 3.5m 정도의 주택과 같은 건물이밀집해 있는 지역, 중층건물이 산재해 있는 지역</t>
    <phoneticPr fontId="1" type="noConversion"/>
  </si>
  <si>
    <t>높이 1.5~10m 정도의장애물이 산재해 있는 지역, 저층건물이 산재해 있는 지역</t>
    <phoneticPr fontId="1" type="noConversion"/>
  </si>
  <si>
    <t>장애물이 거의 없고, 주변 장애물의 평균높이가 1.5m 이하인 지역, 해안, 초원, 비행장</t>
    <phoneticPr fontId="1" type="noConversion"/>
  </si>
  <si>
    <t>보정계수</t>
    <phoneticPr fontId="1" type="noConversion"/>
  </si>
  <si>
    <r>
      <t>Z</t>
    </r>
    <r>
      <rPr>
        <vertAlign val="subscript"/>
        <sz val="9"/>
        <rFont val="돋움"/>
        <family val="3"/>
        <charset val="129"/>
      </rPr>
      <t>b</t>
    </r>
    <r>
      <rPr>
        <sz val="9"/>
        <rFont val="돋움"/>
        <family val="3"/>
        <charset val="129"/>
      </rPr>
      <t>(m)</t>
    </r>
    <phoneticPr fontId="1" type="noConversion"/>
  </si>
  <si>
    <r>
      <t>Z</t>
    </r>
    <r>
      <rPr>
        <vertAlign val="subscript"/>
        <sz val="9"/>
        <rFont val="돋움"/>
        <family val="3"/>
        <charset val="129"/>
      </rPr>
      <t>G</t>
    </r>
    <r>
      <rPr>
        <sz val="9"/>
        <rFont val="돋움"/>
        <family val="3"/>
        <charset val="129"/>
      </rPr>
      <t>(m)</t>
    </r>
    <phoneticPr fontId="1" type="noConversion"/>
  </si>
  <si>
    <r>
      <t>K</t>
    </r>
    <r>
      <rPr>
        <vertAlign val="subscript"/>
        <sz val="9"/>
        <rFont val="돋움"/>
        <family val="3"/>
        <charset val="129"/>
      </rPr>
      <t>zr</t>
    </r>
    <r>
      <rPr>
        <sz val="9"/>
        <rFont val="돋움"/>
        <family val="3"/>
        <charset val="129"/>
      </rPr>
      <t>(Z≤Z</t>
    </r>
    <r>
      <rPr>
        <vertAlign val="subscript"/>
        <sz val="9"/>
        <rFont val="돋움"/>
        <family val="3"/>
        <charset val="129"/>
      </rPr>
      <t>b</t>
    </r>
    <r>
      <rPr>
        <sz val="9"/>
        <rFont val="돋움"/>
        <family val="3"/>
        <charset val="129"/>
      </rPr>
      <t>)</t>
    </r>
    <phoneticPr fontId="1" type="noConversion"/>
  </si>
  <si>
    <r>
      <t>K</t>
    </r>
    <r>
      <rPr>
        <vertAlign val="subscript"/>
        <sz val="9"/>
        <rFont val="돋움"/>
        <family val="3"/>
        <charset val="129"/>
      </rPr>
      <t>zr</t>
    </r>
    <r>
      <rPr>
        <sz val="9"/>
        <rFont val="돋움"/>
        <family val="3"/>
        <charset val="129"/>
      </rPr>
      <t>(Z</t>
    </r>
    <r>
      <rPr>
        <vertAlign val="subscript"/>
        <sz val="9"/>
        <rFont val="돋움"/>
        <family val="3"/>
        <charset val="129"/>
      </rPr>
      <t>b</t>
    </r>
    <r>
      <rPr>
        <sz val="9"/>
        <rFont val="돋움"/>
        <family val="3"/>
        <charset val="129"/>
      </rPr>
      <t>&lt;Z≤Z</t>
    </r>
    <r>
      <rPr>
        <vertAlign val="subscript"/>
        <sz val="9"/>
        <rFont val="돋움"/>
        <family val="3"/>
        <charset val="129"/>
      </rPr>
      <t>G</t>
    </r>
    <r>
      <rPr>
        <sz val="9"/>
        <rFont val="돋움"/>
        <family val="3"/>
        <charset val="129"/>
      </rPr>
      <t>)</t>
    </r>
    <phoneticPr fontId="1" type="noConversion"/>
  </si>
  <si>
    <r>
      <t>V</t>
    </r>
    <r>
      <rPr>
        <vertAlign val="subscript"/>
        <sz val="9"/>
        <rFont val="돋움"/>
        <family val="3"/>
        <charset val="129"/>
      </rPr>
      <t>d</t>
    </r>
    <r>
      <rPr>
        <sz val="9"/>
        <rFont val="돋움"/>
        <family val="3"/>
        <charset val="129"/>
      </rPr>
      <t xml:space="preserve"> =</t>
    </r>
    <phoneticPr fontId="1" type="noConversion"/>
  </si>
  <si>
    <r>
      <t>지역별 기본풍속(V</t>
    </r>
    <r>
      <rPr>
        <b/>
        <vertAlign val="subscript"/>
        <sz val="9"/>
        <rFont val="돋움"/>
        <family val="3"/>
        <charset val="129"/>
      </rPr>
      <t>0</t>
    </r>
    <r>
      <rPr>
        <b/>
        <sz val="9"/>
        <rFont val="돋움"/>
        <family val="3"/>
        <charset val="129"/>
      </rPr>
      <t>)</t>
    </r>
    <phoneticPr fontId="1" type="noConversion"/>
  </si>
  <si>
    <t>α</t>
    <phoneticPr fontId="1" type="noConversion"/>
  </si>
  <si>
    <r>
      <t>0.22Z</t>
    </r>
    <r>
      <rPr>
        <vertAlign val="superscript"/>
        <sz val="9"/>
        <rFont val="돋움"/>
        <family val="3"/>
        <charset val="129"/>
      </rPr>
      <t>α</t>
    </r>
    <phoneticPr fontId="1" type="noConversion"/>
  </si>
  <si>
    <r>
      <t>0.97Z</t>
    </r>
    <r>
      <rPr>
        <vertAlign val="superscript"/>
        <sz val="9"/>
        <rFont val="돋움"/>
        <family val="3"/>
        <charset val="129"/>
      </rPr>
      <t>α</t>
    </r>
    <phoneticPr fontId="1" type="noConversion"/>
  </si>
  <si>
    <r>
      <t>0.71Z</t>
    </r>
    <r>
      <rPr>
        <vertAlign val="superscript"/>
        <sz val="9"/>
        <rFont val="돋움"/>
        <family val="3"/>
        <charset val="129"/>
      </rPr>
      <t>α</t>
    </r>
    <phoneticPr fontId="1" type="noConversion"/>
  </si>
  <si>
    <r>
      <t>0.45Z</t>
    </r>
    <r>
      <rPr>
        <vertAlign val="superscript"/>
        <sz val="9"/>
        <rFont val="돋움"/>
        <family val="3"/>
        <charset val="129"/>
      </rPr>
      <t>α</t>
    </r>
    <phoneticPr fontId="1" type="noConversion"/>
  </si>
  <si>
    <t xml:space="preserve">   3) 지형에 의한 풍속할증계수</t>
    <phoneticPr fontId="1" type="noConversion"/>
  </si>
  <si>
    <t>표 5.3~5.4</t>
    <phoneticPr fontId="1" type="noConversion"/>
  </si>
  <si>
    <t>표 5.5</t>
    <phoneticPr fontId="1" type="noConversion"/>
  </si>
  <si>
    <t>≥ 0.3</t>
    <phoneticPr fontId="1" type="noConversion"/>
  </si>
  <si>
    <t>풍속할증계수(Kzt)</t>
    <phoneticPr fontId="1" type="noConversion"/>
  </si>
  <si>
    <t>경사지(φd≤0.05)</t>
    <phoneticPr fontId="1" type="noConversion"/>
  </si>
  <si>
    <t>언덕, 산(φd≤0.1)</t>
    <phoneticPr fontId="1" type="noConversion"/>
  </si>
  <si>
    <t>(ψ)</t>
  </si>
  <si>
    <t>불리한 경사</t>
    <phoneticPr fontId="1" type="noConversion"/>
  </si>
  <si>
    <t>ψ :</t>
    <phoneticPr fontId="1" type="noConversion"/>
  </si>
  <si>
    <r>
      <t>풍상측 가장 불리한 조건의 경사(ψ=H</t>
    </r>
    <r>
      <rPr>
        <vertAlign val="subscript"/>
        <sz val="9"/>
        <rFont val="돋움"/>
        <family val="3"/>
        <charset val="129"/>
      </rPr>
      <t>t</t>
    </r>
    <r>
      <rPr>
        <sz val="9"/>
        <rFont val="돋움"/>
        <family val="3"/>
        <charset val="129"/>
      </rPr>
      <t>/2Lu)</t>
    </r>
    <phoneticPr fontId="1" type="noConversion"/>
  </si>
  <si>
    <t>φd :</t>
    <phoneticPr fontId="1" type="noConversion"/>
  </si>
  <si>
    <t>언덕, 산, 경사지의 높이(m)</t>
    <phoneticPr fontId="1" type="noConversion"/>
  </si>
  <si>
    <t>Lu :</t>
    <phoneticPr fontId="1" type="noConversion"/>
  </si>
  <si>
    <r>
      <t>언덕, 산, 경사지의 정점으로부터 풍하측 지표면 방향으로 5H</t>
    </r>
    <r>
      <rPr>
        <vertAlign val="subscript"/>
        <sz val="9"/>
        <rFont val="돋움"/>
        <family val="3"/>
        <charset val="129"/>
      </rPr>
      <t>t</t>
    </r>
    <r>
      <rPr>
        <sz val="9"/>
        <rFont val="돋움"/>
        <family val="3"/>
        <charset val="129"/>
      </rPr>
      <t>되는 거리까지의 평균경사</t>
    </r>
    <phoneticPr fontId="1" type="noConversion"/>
  </si>
  <si>
    <r>
      <t>H</t>
    </r>
    <r>
      <rPr>
        <vertAlign val="subscript"/>
        <sz val="9"/>
        <rFont val="돋움"/>
        <family val="3"/>
        <charset val="129"/>
      </rPr>
      <t>t</t>
    </r>
    <r>
      <rPr>
        <sz val="9"/>
        <rFont val="돋움"/>
        <family val="3"/>
        <charset val="129"/>
      </rPr>
      <t xml:space="preserve"> :</t>
    </r>
    <phoneticPr fontId="1" type="noConversion"/>
  </si>
  <si>
    <r>
      <t>언덕, 산, 경사지의 정점으로부터 H</t>
    </r>
    <r>
      <rPr>
        <vertAlign val="subscript"/>
        <sz val="9"/>
        <rFont val="돋움"/>
        <family val="3"/>
        <charset val="129"/>
      </rPr>
      <t>t</t>
    </r>
    <r>
      <rPr>
        <sz val="9"/>
        <rFont val="돋움"/>
        <family val="3"/>
        <charset val="129"/>
      </rPr>
      <t>/2인 지점에서 풍상측 경사시작점까지의 거리(m)</t>
    </r>
    <phoneticPr fontId="1" type="noConversion"/>
  </si>
  <si>
    <t>표 5.6</t>
    <phoneticPr fontId="1" type="noConversion"/>
  </si>
  <si>
    <t>중요도 계수</t>
    <phoneticPr fontId="1" type="noConversion"/>
  </si>
  <si>
    <t>건축물의 용도</t>
    <phoneticPr fontId="1" type="noConversion"/>
  </si>
  <si>
    <t>(1) 연면적이 1천제곱미터 이상인 위험물 저장 및 처리
시설, 종합병원, 병원, 방송국, 전신전화국, 발전소,
 공공업무시설, 노약자시설 및 15층이상 아파트</t>
    <phoneticPr fontId="1" type="noConversion"/>
  </si>
  <si>
    <t xml:space="preserve">   (2) (1), (3), (4)을 제외한 건축물</t>
    <phoneticPr fontId="1" type="noConversion"/>
  </si>
  <si>
    <t xml:space="preserve">   (3) 주택, 근린생활시설</t>
    <phoneticPr fontId="1" type="noConversion"/>
  </si>
  <si>
    <t xml:space="preserve">   (4) 가설 건축물</t>
    <phoneticPr fontId="1" type="noConversion"/>
  </si>
  <si>
    <t>재현기간</t>
    <phoneticPr fontId="1" type="noConversion"/>
  </si>
  <si>
    <t>계수(I)</t>
    <phoneticPr fontId="1" type="noConversion"/>
  </si>
  <si>
    <t>300년 이상</t>
    <phoneticPr fontId="1" type="noConversion"/>
  </si>
  <si>
    <t>100년 이상</t>
    <phoneticPr fontId="1" type="noConversion"/>
  </si>
  <si>
    <t>50년 이상</t>
    <phoneticPr fontId="1" type="noConversion"/>
  </si>
  <si>
    <t>10년 이상</t>
    <phoneticPr fontId="1" type="noConversion"/>
  </si>
  <si>
    <t>구 분</t>
    <phoneticPr fontId="1" type="noConversion"/>
  </si>
  <si>
    <t>입 력</t>
    <phoneticPr fontId="1" type="noConversion"/>
  </si>
  <si>
    <t>지역구분</t>
    <phoneticPr fontId="1" type="noConversion"/>
  </si>
  <si>
    <r>
      <t>K</t>
    </r>
    <r>
      <rPr>
        <vertAlign val="subscript"/>
        <sz val="9"/>
        <rFont val="돋움"/>
        <family val="3"/>
        <charset val="129"/>
      </rPr>
      <t>zr</t>
    </r>
    <phoneticPr fontId="1" type="noConversion"/>
  </si>
  <si>
    <r>
      <t>K</t>
    </r>
    <r>
      <rPr>
        <vertAlign val="subscript"/>
        <sz val="9"/>
        <rFont val="돋움"/>
        <family val="3"/>
        <charset val="129"/>
      </rPr>
      <t>zt</t>
    </r>
    <phoneticPr fontId="1" type="noConversion"/>
  </si>
  <si>
    <t xml:space="preserve">   4) 중요도계수(I)</t>
    <phoneticPr fontId="1" type="noConversion"/>
  </si>
  <si>
    <t>I</t>
    <phoneticPr fontId="1" type="noConversion"/>
  </si>
  <si>
    <r>
      <t>기본 풍속(V</t>
    </r>
    <r>
      <rPr>
        <vertAlign val="subscript"/>
        <sz val="9"/>
        <rFont val="돋움"/>
        <family val="3"/>
        <charset val="129"/>
      </rPr>
      <t>o</t>
    </r>
    <r>
      <rPr>
        <sz val="9"/>
        <rFont val="돋움"/>
        <family val="3"/>
        <charset val="129"/>
      </rPr>
      <t>)</t>
    </r>
    <phoneticPr fontId="1" type="noConversion"/>
  </si>
  <si>
    <r>
      <t>V</t>
    </r>
    <r>
      <rPr>
        <vertAlign val="subscript"/>
        <sz val="9"/>
        <rFont val="돋움"/>
        <family val="3"/>
        <charset val="129"/>
      </rPr>
      <t>0</t>
    </r>
    <r>
      <rPr>
        <sz val="9"/>
        <rFont val="돋움"/>
        <family val="3"/>
        <charset val="129"/>
      </rPr>
      <t>K</t>
    </r>
    <r>
      <rPr>
        <vertAlign val="subscript"/>
        <sz val="9"/>
        <rFont val="돋움"/>
        <family val="3"/>
        <charset val="129"/>
      </rPr>
      <t>zr</t>
    </r>
    <r>
      <rPr>
        <sz val="9"/>
        <rFont val="돋움"/>
        <family val="3"/>
        <charset val="129"/>
      </rPr>
      <t>K</t>
    </r>
    <r>
      <rPr>
        <vertAlign val="subscript"/>
        <sz val="9"/>
        <rFont val="돋움"/>
        <family val="3"/>
        <charset val="129"/>
      </rPr>
      <t>zt</t>
    </r>
    <r>
      <rPr>
        <sz val="9"/>
        <rFont val="돋움"/>
        <family val="3"/>
        <charset val="129"/>
      </rPr>
      <t>I</t>
    </r>
    <phoneticPr fontId="1" type="noConversion"/>
  </si>
  <si>
    <t>모형 Set-up!</t>
    <phoneticPr fontId="1" type="noConversion"/>
  </si>
  <si>
    <t>모 형</t>
    <phoneticPr fontId="1" type="noConversion"/>
  </si>
  <si>
    <t>단 위</t>
    <phoneticPr fontId="1" type="noConversion"/>
  </si>
  <si>
    <t>질량</t>
    <phoneticPr fontId="1" type="noConversion"/>
  </si>
  <si>
    <t>질량관성모멘트</t>
    <phoneticPr fontId="1" type="noConversion"/>
  </si>
  <si>
    <t>휨 진동수</t>
    <phoneticPr fontId="1" type="noConversion"/>
  </si>
  <si>
    <t>비틀림 진동수</t>
    <phoneticPr fontId="1" type="noConversion"/>
  </si>
  <si>
    <t>감쇠율</t>
    <phoneticPr fontId="1" type="noConversion"/>
  </si>
  <si>
    <t>풍 속</t>
    <phoneticPr fontId="1" type="noConversion"/>
  </si>
  <si>
    <t>m</t>
    <phoneticPr fontId="1" type="noConversion"/>
  </si>
  <si>
    <t>t/m</t>
    <phoneticPr fontId="1" type="noConversion"/>
  </si>
  <si>
    <r>
      <t>t*m</t>
    </r>
    <r>
      <rPr>
        <vertAlign val="superscript"/>
        <sz val="9"/>
        <rFont val="돋움"/>
        <family val="3"/>
        <charset val="129"/>
      </rPr>
      <t>2</t>
    </r>
    <r>
      <rPr>
        <sz val="9"/>
        <rFont val="돋움"/>
        <family val="3"/>
        <charset val="129"/>
      </rPr>
      <t>/m</t>
    </r>
    <phoneticPr fontId="1" type="noConversion"/>
  </si>
  <si>
    <t>Hz</t>
    <phoneticPr fontId="1" type="noConversion"/>
  </si>
  <si>
    <t>m/s</t>
    <phoneticPr fontId="1" type="noConversion"/>
  </si>
  <si>
    <t>S =</t>
    <phoneticPr fontId="1" type="noConversion"/>
  </si>
  <si>
    <t>cm</t>
    <phoneticPr fontId="1" type="noConversion"/>
  </si>
  <si>
    <t>kg/m</t>
    <phoneticPr fontId="1" type="noConversion"/>
  </si>
  <si>
    <r>
      <t>kg*cm</t>
    </r>
    <r>
      <rPr>
        <vertAlign val="superscript"/>
        <sz val="9"/>
        <rFont val="돋움"/>
        <family val="3"/>
        <charset val="129"/>
      </rPr>
      <t>2</t>
    </r>
    <r>
      <rPr>
        <sz val="9"/>
        <rFont val="돋움"/>
        <family val="3"/>
        <charset val="129"/>
      </rPr>
      <t>/m</t>
    </r>
    <phoneticPr fontId="1" type="noConversion"/>
  </si>
  <si>
    <t>추가 질량</t>
    <phoneticPr fontId="1" type="noConversion"/>
  </si>
  <si>
    <t>모형의 휨진동수</t>
    <phoneticPr fontId="1" type="noConversion"/>
  </si>
  <si>
    <t>질량 추가시 휨진동수</t>
    <phoneticPr fontId="1" type="noConversion"/>
  </si>
  <si>
    <t>변 수 명</t>
    <phoneticPr fontId="1" type="noConversion"/>
  </si>
  <si>
    <t>Mo</t>
    <phoneticPr fontId="1" type="noConversion"/>
  </si>
  <si>
    <t>Ma</t>
    <phoneticPr fontId="1" type="noConversion"/>
  </si>
  <si>
    <t>Fbo</t>
    <phoneticPr fontId="1" type="noConversion"/>
  </si>
  <si>
    <t>Fba</t>
    <phoneticPr fontId="1" type="noConversion"/>
  </si>
  <si>
    <t>값</t>
    <phoneticPr fontId="1" type="noConversion"/>
  </si>
  <si>
    <t>모형의 길이</t>
    <phoneticPr fontId="1" type="noConversion"/>
  </si>
  <si>
    <t>L</t>
    <phoneticPr fontId="1" type="noConversion"/>
  </si>
  <si>
    <t>단 위</t>
    <phoneticPr fontId="1" type="noConversion"/>
  </si>
  <si>
    <t>kg</t>
    <phoneticPr fontId="1" type="noConversion"/>
  </si>
  <si>
    <t>m</t>
    <phoneticPr fontId="1" type="noConversion"/>
  </si>
  <si>
    <t>질량의 조정 &amp; 질량관성모멘트의 조정</t>
    <phoneticPr fontId="1" type="noConversion"/>
  </si>
  <si>
    <t>모형의 질량관성모멘트</t>
    <phoneticPr fontId="1" type="noConversion"/>
  </si>
  <si>
    <t>모형의 비틀림진동수</t>
    <phoneticPr fontId="1" type="noConversion"/>
  </si>
  <si>
    <t>질량 추가시 비틀림진동수</t>
    <phoneticPr fontId="1" type="noConversion"/>
  </si>
  <si>
    <t>중심부터 거리</t>
    <phoneticPr fontId="1" type="noConversion"/>
  </si>
  <si>
    <t>Io</t>
    <phoneticPr fontId="1" type="noConversion"/>
  </si>
  <si>
    <t>Fto</t>
    <phoneticPr fontId="1" type="noConversion"/>
  </si>
  <si>
    <t>Fta</t>
    <phoneticPr fontId="1" type="noConversion"/>
  </si>
  <si>
    <t>R</t>
    <phoneticPr fontId="1" type="noConversion"/>
  </si>
  <si>
    <r>
      <t>kgcm</t>
    </r>
    <r>
      <rPr>
        <vertAlign val="superscript"/>
        <sz val="9"/>
        <rFont val="돋움"/>
        <family val="3"/>
        <charset val="129"/>
      </rPr>
      <t>2</t>
    </r>
    <r>
      <rPr>
        <sz val="9"/>
        <rFont val="돋움"/>
        <family val="3"/>
        <charset val="129"/>
      </rPr>
      <t>/m</t>
    </r>
    <phoneticPr fontId="1" type="noConversion"/>
  </si>
  <si>
    <t>설계기준풍속(m/s) - 도로교시방서(1996)</t>
    <phoneticPr fontId="1" type="noConversion"/>
  </si>
  <si>
    <t>설계 기준(한국 도로교 시방서)</t>
    <phoneticPr fontId="1" type="noConversion"/>
  </si>
  <si>
    <t>설계 기준(일본 도로교 내풍설계편람)</t>
    <phoneticPr fontId="1" type="noConversion"/>
  </si>
  <si>
    <t>기본 풍속(m/s)</t>
    <phoneticPr fontId="1" type="noConversion"/>
  </si>
  <si>
    <t>설계 기준(혼슈-시코쿠 기준)</t>
    <phoneticPr fontId="1" type="noConversion"/>
  </si>
  <si>
    <t>설계 기준(대한건축학회 기준)</t>
    <phoneticPr fontId="1" type="noConversion"/>
  </si>
  <si>
    <t>교폭</t>
    <phoneticPr fontId="1" type="noConversion"/>
  </si>
  <si>
    <t>모형무게(모형+난간+방호책):</t>
    <phoneticPr fontId="1" type="noConversion"/>
  </si>
  <si>
    <t>페어링:</t>
    <phoneticPr fontId="1" type="noConversion"/>
  </si>
  <si>
    <t>지그:</t>
    <phoneticPr fontId="1" type="noConversion"/>
  </si>
  <si>
    <t>소계:</t>
    <phoneticPr fontId="1" type="noConversion"/>
  </si>
  <si>
    <t>추가질량:</t>
    <phoneticPr fontId="1" type="noConversion"/>
  </si>
  <si>
    <t>합계:</t>
    <phoneticPr fontId="1" type="noConversion"/>
  </si>
  <si>
    <t>단위길이당 질량:</t>
    <phoneticPr fontId="1" type="noConversion"/>
  </si>
  <si>
    <t>(모형+추가질량)의 질량관성모멘트</t>
    <phoneticPr fontId="1" type="noConversion"/>
  </si>
  <si>
    <t>실험치</t>
    <phoneticPr fontId="1" type="noConversion"/>
  </si>
  <si>
    <t>목표치</t>
    <phoneticPr fontId="1" type="noConversion"/>
  </si>
  <si>
    <t>(모형+추가질량)의 질량</t>
    <phoneticPr fontId="1" type="noConversion"/>
  </si>
  <si>
    <t>목표거리</t>
    <phoneticPr fontId="1" type="noConversion"/>
  </si>
  <si>
    <t>D</t>
    <phoneticPr fontId="1" type="noConversion"/>
  </si>
  <si>
    <t>완도대교</t>
    <phoneticPr fontId="1" type="noConversion"/>
  </si>
  <si>
    <t>목표진동수비</t>
    <phoneticPr fontId="1" type="noConversion"/>
  </si>
  <si>
    <t>실험진동수비</t>
    <phoneticPr fontId="1" type="noConversion"/>
  </si>
  <si>
    <t>실험진동수(연직)</t>
    <phoneticPr fontId="1" type="noConversion"/>
  </si>
  <si>
    <t>실험진동수(비틀림)</t>
    <phoneticPr fontId="1" type="noConversion"/>
  </si>
  <si>
    <t>감쇠</t>
    <phoneticPr fontId="1" type="noConversion"/>
  </si>
  <si>
    <t>실험풍속</t>
    <phoneticPr fontId="1" type="noConversion"/>
  </si>
  <si>
    <t>비틀림</t>
    <phoneticPr fontId="1" type="noConversion"/>
  </si>
  <si>
    <t>연직</t>
    <phoneticPr fontId="1" type="noConversion"/>
  </si>
  <si>
    <t>형고</t>
    <phoneticPr fontId="1" type="noConversion"/>
  </si>
  <si>
    <t>스프링간격</t>
    <phoneticPr fontId="1" type="noConversion"/>
  </si>
  <si>
    <t>댐퍼간격</t>
    <phoneticPr fontId="1" type="noConversion"/>
  </si>
  <si>
    <t>실 교 량</t>
    <phoneticPr fontId="1" type="noConversion"/>
  </si>
  <si>
    <t>회전반경, r</t>
    <phoneticPr fontId="1" type="noConversion"/>
  </si>
  <si>
    <t>감쇠</t>
    <phoneticPr fontId="1" type="noConversion"/>
  </si>
  <si>
    <t>진동모드</t>
    <phoneticPr fontId="1" type="noConversion"/>
  </si>
  <si>
    <t>대상진폭</t>
    <phoneticPr fontId="1" type="noConversion"/>
  </si>
  <si>
    <t>연직</t>
    <phoneticPr fontId="1" type="noConversion"/>
  </si>
  <si>
    <t>스프링</t>
    <phoneticPr fontId="1" type="noConversion"/>
  </si>
  <si>
    <t>1/4지점</t>
    <phoneticPr fontId="1" type="noConversion"/>
  </si>
  <si>
    <t>3/8지점</t>
    <phoneticPr fontId="1" type="noConversion"/>
  </si>
  <si>
    <t>무게(kg)</t>
    <phoneticPr fontId="1" type="noConversion"/>
  </si>
  <si>
    <t>SC B</t>
    <phoneticPr fontId="1" type="noConversion"/>
  </si>
  <si>
    <t>SC T</t>
    <phoneticPr fontId="1" type="noConversion"/>
  </si>
  <si>
    <t>SC B</t>
    <phoneticPr fontId="1" type="noConversion"/>
  </si>
  <si>
    <t>SC T</t>
    <phoneticPr fontId="1" type="noConversion"/>
  </si>
  <si>
    <t>0cm</t>
    <phoneticPr fontId="1" type="noConversion"/>
  </si>
  <si>
    <t>선경, 직경, 길이</t>
    <phoneticPr fontId="1" type="noConversion"/>
  </si>
  <si>
    <t>단면1</t>
    <phoneticPr fontId="1" type="noConversion"/>
  </si>
  <si>
    <t>단면2</t>
  </si>
  <si>
    <t>최종</t>
    <phoneticPr fontId="1" type="noConversion"/>
  </si>
  <si>
    <t>III</t>
    <phoneticPr fontId="1" type="noConversion"/>
  </si>
  <si>
    <t>하, 없음</t>
    <phoneticPr fontId="1" type="noConversion"/>
  </si>
  <si>
    <t>센서간격</t>
    <phoneticPr fontId="1" type="noConversion"/>
  </si>
  <si>
    <t>상, NO20(강선)</t>
    <phoneticPr fontId="1" type="noConversion"/>
  </si>
  <si>
    <t>20.5cm</t>
    <phoneticPr fontId="1" type="noConversion"/>
  </si>
  <si>
    <t>13cm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</si>
</sst>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76" formatCode="0.0000"/>
    <numFmt numFmtId="177" formatCode="0.000"/>
    <numFmt numFmtId="178" formatCode="0.0000_ "/>
    <numFmt numFmtId="179" formatCode="0.0000_);[Red]\(0.0000\)"/>
    <numFmt numFmtId="180" formatCode="0.00_ "/>
    <numFmt numFmtId="181" formatCode="0.00000_);[Red]\(0.00000\)"/>
    <numFmt numFmtId="182" formatCode="0.000_);[Red]\(0.000\)"/>
    <numFmt numFmtId="183" formatCode="0.000_ "/>
    <numFmt numFmtId="184" formatCode="#,##0_ "/>
    <numFmt numFmtId="185" formatCode="0_);[Red]\(0\)"/>
    <numFmt numFmtId="186" formatCode="0.0000000_ "/>
  </numFmts>
  <fonts count="13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sz val="9"/>
      <name val="돋움"/>
      <family val="3"/>
      <charset val="129"/>
    </font>
    <font>
      <vertAlign val="superscript"/>
      <sz val="9"/>
      <name val="돋움"/>
      <family val="3"/>
      <charset val="129"/>
    </font>
    <font>
      <vertAlign val="subscript"/>
      <sz val="9"/>
      <name val="돋움"/>
      <family val="3"/>
      <charset val="129"/>
    </font>
    <font>
      <b/>
      <sz val="9"/>
      <name val="돋움"/>
      <family val="3"/>
      <charset val="129"/>
    </font>
    <font>
      <b/>
      <vertAlign val="subscript"/>
      <sz val="9"/>
      <name val="돋움"/>
      <family val="3"/>
      <charset val="129"/>
    </font>
    <font>
      <sz val="9"/>
      <color indexed="22"/>
      <name val="돋움"/>
      <family val="3"/>
      <charset val="129"/>
    </font>
    <font>
      <sz val="9"/>
      <color indexed="23"/>
      <name val="돋움"/>
      <family val="3"/>
      <charset val="129"/>
    </font>
    <font>
      <b/>
      <sz val="9"/>
      <color indexed="23"/>
      <name val="돋움"/>
      <family val="3"/>
      <charset val="129"/>
    </font>
    <font>
      <sz val="6"/>
      <name val="돋움"/>
      <family val="3"/>
      <charset val="129"/>
    </font>
    <font>
      <sz val="7"/>
      <name val="돋움"/>
      <family val="3"/>
      <charset val="129"/>
    </font>
    <font>
      <sz val="9"/>
      <color indexed="10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Continuous" vertical="center"/>
    </xf>
    <xf numFmtId="0" fontId="2" fillId="0" borderId="1" xfId="0" applyFont="1" applyBorder="1" applyAlignment="1">
      <alignment horizontal="centerContinuous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2" borderId="1" xfId="0" applyFont="1" applyFill="1" applyBorder="1" applyAlignment="1">
      <alignment horizontal="centerContinuous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Continuous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Continuous" vertical="center"/>
    </xf>
    <xf numFmtId="0" fontId="2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Continuous" vertical="center"/>
    </xf>
    <xf numFmtId="0" fontId="5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Continuous" vertical="center"/>
    </xf>
    <xf numFmtId="1" fontId="2" fillId="0" borderId="1" xfId="0" applyNumberFormat="1" applyFont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Continuous" vertical="center"/>
    </xf>
    <xf numFmtId="0" fontId="7" fillId="0" borderId="0" xfId="0" applyFont="1" applyAlignment="1">
      <alignment horizontal="center" vertical="center"/>
    </xf>
    <xf numFmtId="2" fontId="2" fillId="0" borderId="6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2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right" vertical="center"/>
    </xf>
    <xf numFmtId="2" fontId="2" fillId="0" borderId="0" xfId="0" applyNumberFormat="1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right" vertical="center"/>
    </xf>
    <xf numFmtId="2" fontId="2" fillId="2" borderId="7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2" fontId="2" fillId="0" borderId="0" xfId="0" applyNumberFormat="1" applyFont="1" applyBorder="1" applyAlignment="1">
      <alignment horizontal="left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Fill="1" applyBorder="1" applyAlignment="1">
      <alignment horizontal="centerContinuous" vertical="center"/>
    </xf>
    <xf numFmtId="0" fontId="2" fillId="0" borderId="3" xfId="0" applyFont="1" applyBorder="1" applyAlignment="1">
      <alignment horizontal="centerContinuous" vertical="center" wrapText="1"/>
    </xf>
    <xf numFmtId="0" fontId="2" fillId="0" borderId="3" xfId="0" applyFont="1" applyBorder="1" applyAlignment="1">
      <alignment horizontal="centerContinuous" vertical="center"/>
    </xf>
    <xf numFmtId="0" fontId="2" fillId="0" borderId="4" xfId="0" applyFont="1" applyFill="1" applyBorder="1" applyAlignment="1">
      <alignment horizontal="centerContinuous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" xfId="0" applyFont="1" applyFill="1" applyBorder="1" applyAlignment="1">
      <alignment horizontal="centerContinuous" vertical="center"/>
    </xf>
    <xf numFmtId="0" fontId="2" fillId="0" borderId="4" xfId="0" quotePrefix="1" applyFont="1" applyFill="1" applyBorder="1" applyAlignment="1">
      <alignment horizontal="centerContinuous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Continuous" vertical="center"/>
    </xf>
    <xf numFmtId="0" fontId="2" fillId="0" borderId="3" xfId="0" applyFont="1" applyFill="1" applyBorder="1" applyAlignment="1">
      <alignment horizontal="centerContinuous" vertical="center" wrapText="1"/>
    </xf>
    <xf numFmtId="0" fontId="2" fillId="0" borderId="3" xfId="0" applyFont="1" applyFill="1" applyBorder="1" applyAlignment="1">
      <alignment horizontal="centerContinuous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2" fillId="0" borderId="6" xfId="0" applyFont="1" applyBorder="1" applyAlignment="1">
      <alignment horizontal="centerContinuous" vertical="center"/>
    </xf>
    <xf numFmtId="0" fontId="2" fillId="0" borderId="6" xfId="0" applyFont="1" applyBorder="1" applyAlignment="1">
      <alignment horizontal="centerContinuous" vertical="center" wrapText="1"/>
    </xf>
    <xf numFmtId="0" fontId="2" fillId="0" borderId="12" xfId="0" applyFont="1" applyBorder="1" applyAlignment="1">
      <alignment horizontal="center" vertical="center"/>
    </xf>
    <xf numFmtId="1" fontId="2" fillId="0" borderId="12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shrinkToFit="1"/>
    </xf>
    <xf numFmtId="0" fontId="2" fillId="0" borderId="13" xfId="0" applyFont="1" applyBorder="1" applyAlignment="1">
      <alignment horizontal="centerContinuous" vertical="center"/>
    </xf>
    <xf numFmtId="0" fontId="2" fillId="0" borderId="6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7" xfId="0" applyFont="1" applyBorder="1" applyAlignment="1">
      <alignment horizontal="centerContinuous" vertical="center"/>
    </xf>
    <xf numFmtId="2" fontId="2" fillId="0" borderId="4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2" fontId="2" fillId="0" borderId="14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2" fontId="2" fillId="0" borderId="1" xfId="0" applyNumberFormat="1" applyFont="1" applyBorder="1" applyAlignment="1">
      <alignment horizontal="left" vertical="center"/>
    </xf>
    <xf numFmtId="0" fontId="2" fillId="0" borderId="0" xfId="0" applyFont="1" applyFill="1" applyBorder="1" applyAlignment="1">
      <alignment horizontal="right"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Continuous" vertical="center" shrinkToFit="1"/>
    </xf>
    <xf numFmtId="0" fontId="2" fillId="0" borderId="4" xfId="0" applyFont="1" applyBorder="1" applyAlignment="1">
      <alignment horizontal="centerContinuous" vertical="center"/>
    </xf>
    <xf numFmtId="0" fontId="2" fillId="0" borderId="14" xfId="0" applyFont="1" applyBorder="1" applyAlignment="1">
      <alignment horizontal="centerContinuous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Continuous" vertical="center"/>
    </xf>
    <xf numFmtId="0" fontId="8" fillId="0" borderId="1" xfId="0" applyFont="1" applyBorder="1" applyAlignment="1">
      <alignment horizontal="centerContinuous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Continuous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Continuous" vertical="center"/>
    </xf>
    <xf numFmtId="0" fontId="10" fillId="0" borderId="1" xfId="0" applyFont="1" applyBorder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180" fontId="2" fillId="0" borderId="1" xfId="0" applyNumberFormat="1" applyFont="1" applyBorder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181" fontId="2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178" fontId="2" fillId="0" borderId="0" xfId="0" applyNumberFormat="1" applyFont="1" applyAlignment="1">
      <alignment horizontal="center" vertical="center"/>
    </xf>
    <xf numFmtId="180" fontId="2" fillId="0" borderId="0" xfId="0" applyNumberFormat="1" applyFont="1" applyAlignment="1">
      <alignment horizontal="center" vertical="center"/>
    </xf>
    <xf numFmtId="182" fontId="2" fillId="0" borderId="1" xfId="0" applyNumberFormat="1" applyFont="1" applyBorder="1" applyAlignment="1">
      <alignment horizontal="center" vertical="center"/>
    </xf>
    <xf numFmtId="183" fontId="2" fillId="0" borderId="1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80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82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8" fontId="2" fillId="0" borderId="1" xfId="0" applyNumberFormat="1" applyFont="1" applyFill="1" applyBorder="1" applyAlignment="1">
      <alignment horizontal="center" vertical="center"/>
    </xf>
    <xf numFmtId="184" fontId="0" fillId="0" borderId="0" xfId="0" applyNumberFormat="1"/>
    <xf numFmtId="178" fontId="2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8" fontId="2" fillId="3" borderId="0" xfId="0" applyNumberFormat="1" applyFont="1" applyFill="1" applyAlignment="1">
      <alignment horizontal="center" vertical="center"/>
    </xf>
    <xf numFmtId="185" fontId="0" fillId="0" borderId="0" xfId="0" applyNumberFormat="1"/>
    <xf numFmtId="186" fontId="2" fillId="3" borderId="0" xfId="0" applyNumberFormat="1" applyFont="1" applyFill="1" applyAlignment="1">
      <alignment horizontal="center" vertical="center"/>
    </xf>
    <xf numFmtId="2" fontId="2" fillId="2" borderId="6" xfId="0" applyNumberFormat="1" applyFont="1" applyFill="1" applyBorder="1" applyAlignment="1">
      <alignment horizontal="center" vertical="center"/>
    </xf>
    <xf numFmtId="2" fontId="2" fillId="2" borderId="7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390525</xdr:colOff>
      <xdr:row>13</xdr:row>
      <xdr:rowOff>47625</xdr:rowOff>
    </xdr:from>
    <xdr:to>
      <xdr:col>8</xdr:col>
      <xdr:colOff>390525</xdr:colOff>
      <xdr:row>13</xdr:row>
      <xdr:rowOff>247650</xdr:rowOff>
    </xdr:to>
    <xdr:sp macro="" textlink="">
      <xdr:nvSpPr>
        <xdr:cNvPr id="1311" name="Line 2">
          <a:extLst>
            <a:ext uri="{FF2B5EF4-FFF2-40B4-BE49-F238E27FC236}">
              <a16:creationId xmlns:a16="http://schemas.microsoft.com/office/drawing/2014/main" xmlns="" id="{00000000-0008-0000-0000-00001F050000}"/>
            </a:ext>
          </a:extLst>
        </xdr:cNvPr>
        <xdr:cNvSpPr>
          <a:spLocks noChangeShapeType="1"/>
        </xdr:cNvSpPr>
      </xdr:nvSpPr>
      <xdr:spPr bwMode="auto">
        <a:xfrm flipV="1">
          <a:off x="6096000" y="2676525"/>
          <a:ext cx="0" cy="200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8</xdr:col>
      <xdr:colOff>400050</xdr:colOff>
      <xdr:row>14</xdr:row>
      <xdr:rowOff>276225</xdr:rowOff>
    </xdr:from>
    <xdr:to>
      <xdr:col>8</xdr:col>
      <xdr:colOff>400050</xdr:colOff>
      <xdr:row>15</xdr:row>
      <xdr:rowOff>47625</xdr:rowOff>
    </xdr:to>
    <xdr:sp macro="" textlink="">
      <xdr:nvSpPr>
        <xdr:cNvPr id="1312" name="Line 4">
          <a:extLst>
            <a:ext uri="{FF2B5EF4-FFF2-40B4-BE49-F238E27FC236}">
              <a16:creationId xmlns:a16="http://schemas.microsoft.com/office/drawing/2014/main" xmlns="" id="{00000000-0008-0000-0000-000020050000}"/>
            </a:ext>
          </a:extLst>
        </xdr:cNvPr>
        <xdr:cNvSpPr>
          <a:spLocks noChangeShapeType="1"/>
        </xdr:cNvSpPr>
      </xdr:nvSpPr>
      <xdr:spPr bwMode="auto">
        <a:xfrm rot="10800000" flipV="1">
          <a:off x="6105525" y="3190875"/>
          <a:ext cx="0" cy="200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I32"/>
  <sheetViews>
    <sheetView showGridLines="0" tabSelected="1" zoomScaleNormal="100" workbookViewId="0">
      <selection activeCell="F32" sqref="F32:G32"/>
    </sheetView>
  </sheetViews>
  <sheetFormatPr defaultRowHeight="11.25" x14ac:dyDescent="0.15"/>
  <cols>
    <col min="1" max="1" width="5.109375" style="2" customWidth="1"/>
    <col min="2" max="9" width="8.77734375" style="1" customWidth="1"/>
    <col min="10" max="10" width="9.5546875" style="1" customWidth="1"/>
    <col min="11" max="11" width="12.44140625" style="1" customWidth="1"/>
    <col min="12" max="12" width="12.33203125" style="1" customWidth="1"/>
    <col min="13" max="16384" width="8.88671875" style="1"/>
  </cols>
  <sheetData>
    <row r="1" spans="1:9" x14ac:dyDescent="0.15">
      <c r="A1" s="9" t="s">
        <v>226</v>
      </c>
    </row>
    <row r="2" spans="1:9" x14ac:dyDescent="0.15">
      <c r="A2" s="9"/>
    </row>
    <row r="3" spans="1:9" x14ac:dyDescent="0.15">
      <c r="B3" s="9" t="s">
        <v>21</v>
      </c>
      <c r="C3" s="8"/>
      <c r="D3" s="9" t="s">
        <v>22</v>
      </c>
    </row>
    <row r="4" spans="1:9" x14ac:dyDescent="0.15">
      <c r="B4" s="3" t="s">
        <v>2</v>
      </c>
      <c r="C4" s="3" t="s">
        <v>3</v>
      </c>
      <c r="D4" s="6" t="s">
        <v>4</v>
      </c>
      <c r="E4" s="6"/>
      <c r="F4" s="6"/>
      <c r="G4" s="92" t="s">
        <v>228</v>
      </c>
    </row>
    <row r="5" spans="1:9" ht="24" customHeight="1" x14ac:dyDescent="0.15">
      <c r="B5" s="3" t="s">
        <v>6</v>
      </c>
      <c r="C5" s="3" t="s">
        <v>11</v>
      </c>
      <c r="D5" s="7" t="s">
        <v>15</v>
      </c>
      <c r="E5" s="6"/>
      <c r="F5" s="6"/>
      <c r="G5" s="3">
        <v>30</v>
      </c>
    </row>
    <row r="6" spans="1:9" x14ac:dyDescent="0.15">
      <c r="B6" s="3" t="s">
        <v>7</v>
      </c>
      <c r="C6" s="3" t="s">
        <v>12</v>
      </c>
      <c r="D6" s="6" t="s">
        <v>16</v>
      </c>
      <c r="E6" s="6"/>
      <c r="F6" s="6"/>
      <c r="G6" s="3">
        <v>35</v>
      </c>
    </row>
    <row r="7" spans="1:9" ht="33.75" x14ac:dyDescent="0.15">
      <c r="B7" s="3" t="s">
        <v>8</v>
      </c>
      <c r="C7" s="5" t="s">
        <v>13</v>
      </c>
      <c r="D7" s="6" t="s">
        <v>17</v>
      </c>
      <c r="E7" s="6"/>
      <c r="F7" s="6"/>
      <c r="G7" s="3">
        <v>40</v>
      </c>
    </row>
    <row r="8" spans="1:9" ht="33.75" x14ac:dyDescent="0.15">
      <c r="B8" s="3" t="s">
        <v>9</v>
      </c>
      <c r="C8" s="5" t="s">
        <v>14</v>
      </c>
      <c r="D8" s="6" t="s">
        <v>18</v>
      </c>
      <c r="E8" s="6"/>
      <c r="F8" s="6"/>
      <c r="G8" s="3">
        <v>45</v>
      </c>
    </row>
    <row r="9" spans="1:9" x14ac:dyDescent="0.15">
      <c r="B9" s="3" t="s">
        <v>10</v>
      </c>
      <c r="C9" s="3"/>
      <c r="D9" s="6" t="s">
        <v>19</v>
      </c>
      <c r="E9" s="6"/>
      <c r="F9" s="6"/>
      <c r="G9" s="3">
        <v>50</v>
      </c>
    </row>
    <row r="11" spans="1:9" ht="12.75" x14ac:dyDescent="0.15">
      <c r="B11" s="9" t="s">
        <v>20</v>
      </c>
      <c r="C11" s="8"/>
      <c r="D11" s="9" t="s">
        <v>23</v>
      </c>
    </row>
    <row r="12" spans="1:9" ht="12.75" x14ac:dyDescent="0.15">
      <c r="B12" s="3" t="s">
        <v>2</v>
      </c>
      <c r="C12" s="6" t="s">
        <v>24</v>
      </c>
      <c r="D12" s="6"/>
      <c r="E12" s="6"/>
      <c r="F12" s="3" t="s">
        <v>25</v>
      </c>
      <c r="G12" s="3" t="s">
        <v>32</v>
      </c>
      <c r="H12" s="3" t="s">
        <v>31</v>
      </c>
      <c r="I12" s="3" t="s">
        <v>26</v>
      </c>
    </row>
    <row r="13" spans="1:9" x14ac:dyDescent="0.15">
      <c r="B13" s="3" t="s">
        <v>6</v>
      </c>
      <c r="C13" s="6" t="s">
        <v>27</v>
      </c>
      <c r="D13" s="6"/>
      <c r="E13" s="6"/>
      <c r="F13" s="3">
        <v>0.12</v>
      </c>
      <c r="G13" s="3">
        <v>500</v>
      </c>
      <c r="H13" s="3">
        <v>5</v>
      </c>
      <c r="I13" s="10" t="s">
        <v>33</v>
      </c>
    </row>
    <row r="14" spans="1:9" ht="22.5" x14ac:dyDescent="0.15">
      <c r="B14" s="3" t="s">
        <v>7</v>
      </c>
      <c r="C14" s="7" t="s">
        <v>28</v>
      </c>
      <c r="D14" s="6"/>
      <c r="E14" s="6"/>
      <c r="F14" s="3">
        <v>0.16</v>
      </c>
      <c r="G14" s="3">
        <v>600</v>
      </c>
      <c r="H14" s="3">
        <v>10</v>
      </c>
      <c r="I14" s="11"/>
    </row>
    <row r="15" spans="1:9" ht="33.75" x14ac:dyDescent="0.15">
      <c r="B15" s="3" t="s">
        <v>276</v>
      </c>
      <c r="C15" s="7" t="s">
        <v>29</v>
      </c>
      <c r="D15" s="6"/>
      <c r="E15" s="6"/>
      <c r="F15" s="3">
        <v>0.22</v>
      </c>
      <c r="G15" s="3">
        <v>700</v>
      </c>
      <c r="H15" s="3">
        <v>15</v>
      </c>
      <c r="I15" s="11"/>
    </row>
    <row r="16" spans="1:9" ht="22.5" x14ac:dyDescent="0.15">
      <c r="B16" s="3" t="s">
        <v>9</v>
      </c>
      <c r="C16" s="7" t="s">
        <v>30</v>
      </c>
      <c r="D16" s="6"/>
      <c r="E16" s="6"/>
      <c r="F16" s="3">
        <v>0.28999999999999998</v>
      </c>
      <c r="G16" s="3">
        <v>700</v>
      </c>
      <c r="H16" s="3">
        <v>30</v>
      </c>
      <c r="I16" s="12" t="s">
        <v>34</v>
      </c>
    </row>
    <row r="18" spans="1:7" x14ac:dyDescent="0.15">
      <c r="B18" s="9" t="s">
        <v>225</v>
      </c>
    </row>
    <row r="19" spans="1:7" ht="13.5" x14ac:dyDescent="0.15">
      <c r="B19" s="13" t="s">
        <v>37</v>
      </c>
      <c r="C19" s="2" t="s">
        <v>38</v>
      </c>
      <c r="E19" s="1" t="s">
        <v>40</v>
      </c>
    </row>
    <row r="20" spans="1:7" ht="13.5" x14ac:dyDescent="0.15">
      <c r="C20" s="2" t="s">
        <v>39</v>
      </c>
      <c r="E20" s="1" t="s">
        <v>41</v>
      </c>
    </row>
    <row r="23" spans="1:7" x14ac:dyDescent="0.15">
      <c r="A23" s="9" t="s">
        <v>245</v>
      </c>
    </row>
    <row r="24" spans="1:7" x14ac:dyDescent="0.15">
      <c r="A24" s="9"/>
      <c r="B24" s="1" t="s">
        <v>88</v>
      </c>
    </row>
    <row r="25" spans="1:7" x14ac:dyDescent="0.15">
      <c r="A25" s="9"/>
      <c r="B25" s="6" t="s">
        <v>2</v>
      </c>
      <c r="C25" s="6"/>
      <c r="D25" s="3" t="s">
        <v>45</v>
      </c>
    </row>
    <row r="26" spans="1:7" x14ac:dyDescent="0.15">
      <c r="B26" s="6" t="s">
        <v>42</v>
      </c>
      <c r="C26" s="6"/>
      <c r="D26" s="109" t="s">
        <v>6</v>
      </c>
    </row>
    <row r="27" spans="1:7" x14ac:dyDescent="0.15">
      <c r="B27" s="6" t="s">
        <v>43</v>
      </c>
      <c r="C27" s="6"/>
      <c r="D27" s="122" t="s">
        <v>9</v>
      </c>
    </row>
    <row r="28" spans="1:7" x14ac:dyDescent="0.15">
      <c r="B28" s="16" t="s">
        <v>44</v>
      </c>
      <c r="C28" s="16"/>
      <c r="D28" s="23">
        <v>40</v>
      </c>
    </row>
    <row r="29" spans="1:7" x14ac:dyDescent="0.15">
      <c r="A29" s="38"/>
      <c r="B29" s="18"/>
      <c r="C29" s="18"/>
      <c r="D29" s="17"/>
      <c r="E29" s="19"/>
    </row>
    <row r="30" spans="1:7" x14ac:dyDescent="0.15">
      <c r="A30" s="1"/>
      <c r="B30" s="38" t="s">
        <v>89</v>
      </c>
      <c r="C30" s="20"/>
      <c r="D30" s="21"/>
      <c r="E30" s="19"/>
    </row>
    <row r="31" spans="1:7" ht="12.75" x14ac:dyDescent="0.15">
      <c r="A31" s="38"/>
      <c r="B31" s="22" t="s">
        <v>46</v>
      </c>
      <c r="C31" s="3" t="s">
        <v>25</v>
      </c>
      <c r="D31" s="3" t="s">
        <v>32</v>
      </c>
      <c r="E31" s="3" t="s">
        <v>31</v>
      </c>
      <c r="F31" s="25" t="s">
        <v>47</v>
      </c>
      <c r="G31" s="25"/>
    </row>
    <row r="32" spans="1:7" x14ac:dyDescent="0.15">
      <c r="B32" s="110">
        <f>30*0.93</f>
        <v>27.900000000000002</v>
      </c>
      <c r="C32" s="24">
        <f>LOOKUP($D$27,$B$13:$B$16,F13:F16)</f>
        <v>0.28999999999999998</v>
      </c>
      <c r="D32" s="26">
        <f>LOOKUP($D$27,$B$13:$B$16,G13:G16)</f>
        <v>700</v>
      </c>
      <c r="E32" s="26">
        <f>LOOKUP($D$27,$B$13:$B$16,H13:H16)</f>
        <v>30</v>
      </c>
      <c r="F32" s="128">
        <f>IF(D28&gt;=E32,1.925*(D28/D32)^C32*B32,1.925*(E32/D32)^C32*B32)</f>
        <v>23.418221152931462</v>
      </c>
      <c r="G32" s="129"/>
    </row>
  </sheetData>
  <mergeCells count="1">
    <mergeCell ref="F32:G32"/>
  </mergeCells>
  <phoneticPr fontId="1" type="noConversion"/>
  <printOptions horizontalCentered="1"/>
  <pageMargins left="0.59055118110236227" right="0.47244094488188981" top="0.98425196850393704" bottom="0.98425196850393704" header="0.51181102362204722" footer="0.51181102362204722"/>
  <pageSetup paperSize="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K69"/>
  <sheetViews>
    <sheetView showGridLines="0" workbookViewId="0">
      <selection activeCell="D50" sqref="D50"/>
    </sheetView>
  </sheetViews>
  <sheetFormatPr defaultRowHeight="11.25" x14ac:dyDescent="0.15"/>
  <cols>
    <col min="1" max="1" width="4.77734375" style="2" customWidth="1"/>
    <col min="2" max="6" width="8.88671875" style="1"/>
    <col min="7" max="7" width="10.44140625" style="1" customWidth="1"/>
    <col min="8" max="16384" width="8.88671875" style="1"/>
  </cols>
  <sheetData>
    <row r="1" spans="1:9" x14ac:dyDescent="0.15">
      <c r="A1" s="9" t="s">
        <v>227</v>
      </c>
    </row>
    <row r="2" spans="1:9" x14ac:dyDescent="0.15">
      <c r="A2" s="80" t="s">
        <v>51</v>
      </c>
      <c r="B2" s="81"/>
      <c r="C2" s="81"/>
      <c r="D2" s="81"/>
      <c r="E2" s="81"/>
      <c r="F2" s="81"/>
      <c r="G2" s="81"/>
    </row>
    <row r="3" spans="1:9" x14ac:dyDescent="0.15">
      <c r="A3" s="80"/>
      <c r="B3" s="82" t="s">
        <v>0</v>
      </c>
      <c r="C3" s="83"/>
      <c r="D3" s="82" t="s">
        <v>1</v>
      </c>
      <c r="E3" s="81"/>
      <c r="F3" s="81"/>
      <c r="G3" s="81"/>
    </row>
    <row r="4" spans="1:9" x14ac:dyDescent="0.15">
      <c r="A4" s="80"/>
      <c r="B4" s="84" t="s">
        <v>2</v>
      </c>
      <c r="C4" s="84" t="s">
        <v>3</v>
      </c>
      <c r="D4" s="85" t="s">
        <v>4</v>
      </c>
      <c r="E4" s="85"/>
      <c r="F4" s="85"/>
      <c r="G4" s="84" t="s">
        <v>5</v>
      </c>
    </row>
    <row r="5" spans="1:9" ht="24" customHeight="1" x14ac:dyDescent="0.15">
      <c r="A5" s="80"/>
      <c r="B5" s="84" t="s">
        <v>6</v>
      </c>
      <c r="C5" s="84" t="s">
        <v>11</v>
      </c>
      <c r="D5" s="86" t="s">
        <v>15</v>
      </c>
      <c r="E5" s="85"/>
      <c r="F5" s="85"/>
      <c r="G5" s="84">
        <v>30</v>
      </c>
    </row>
    <row r="6" spans="1:9" x14ac:dyDescent="0.15">
      <c r="A6" s="80"/>
      <c r="B6" s="84" t="s">
        <v>7</v>
      </c>
      <c r="C6" s="84" t="s">
        <v>12</v>
      </c>
      <c r="D6" s="85" t="s">
        <v>16</v>
      </c>
      <c r="E6" s="85"/>
      <c r="F6" s="85"/>
      <c r="G6" s="84">
        <v>35</v>
      </c>
    </row>
    <row r="7" spans="1:9" ht="33.75" x14ac:dyDescent="0.15">
      <c r="A7" s="80"/>
      <c r="B7" s="84" t="s">
        <v>8</v>
      </c>
      <c r="C7" s="87" t="s">
        <v>13</v>
      </c>
      <c r="D7" s="85" t="s">
        <v>17</v>
      </c>
      <c r="E7" s="85"/>
      <c r="F7" s="85"/>
      <c r="G7" s="84">
        <v>40</v>
      </c>
    </row>
    <row r="8" spans="1:9" ht="33.75" x14ac:dyDescent="0.15">
      <c r="A8" s="80"/>
      <c r="B8" s="84" t="s">
        <v>9</v>
      </c>
      <c r="C8" s="87" t="s">
        <v>14</v>
      </c>
      <c r="D8" s="85" t="s">
        <v>18</v>
      </c>
      <c r="E8" s="85"/>
      <c r="F8" s="85"/>
      <c r="G8" s="84">
        <v>45</v>
      </c>
    </row>
    <row r="9" spans="1:9" x14ac:dyDescent="0.15">
      <c r="A9" s="80"/>
      <c r="B9" s="84" t="s">
        <v>10</v>
      </c>
      <c r="C9" s="84"/>
      <c r="D9" s="85" t="s">
        <v>19</v>
      </c>
      <c r="E9" s="85"/>
      <c r="F9" s="85"/>
      <c r="G9" s="84">
        <v>50</v>
      </c>
    </row>
    <row r="11" spans="1:9" x14ac:dyDescent="0.15">
      <c r="A11" s="2" t="s">
        <v>50</v>
      </c>
    </row>
    <row r="12" spans="1:9" x14ac:dyDescent="0.15">
      <c r="B12" s="9" t="s">
        <v>48</v>
      </c>
      <c r="C12" s="8"/>
      <c r="D12" s="9" t="s">
        <v>49</v>
      </c>
    </row>
    <row r="13" spans="1:9" ht="12.75" x14ac:dyDescent="0.15">
      <c r="B13" s="3" t="s">
        <v>2</v>
      </c>
      <c r="C13" s="6" t="s">
        <v>24</v>
      </c>
      <c r="D13" s="6"/>
      <c r="E13" s="6"/>
      <c r="F13" s="3" t="s">
        <v>25</v>
      </c>
      <c r="G13" s="3" t="s">
        <v>32</v>
      </c>
      <c r="H13" s="3" t="s">
        <v>31</v>
      </c>
      <c r="I13" s="3" t="s">
        <v>26</v>
      </c>
    </row>
    <row r="14" spans="1:9" x14ac:dyDescent="0.15">
      <c r="B14" s="3" t="s">
        <v>6</v>
      </c>
      <c r="C14" s="6" t="s">
        <v>27</v>
      </c>
      <c r="D14" s="6"/>
      <c r="E14" s="6"/>
      <c r="F14" s="3">
        <v>0.12</v>
      </c>
      <c r="G14" s="3">
        <v>500</v>
      </c>
      <c r="H14" s="3">
        <v>5</v>
      </c>
      <c r="I14" s="10" t="s">
        <v>33</v>
      </c>
    </row>
    <row r="15" spans="1:9" ht="22.5" x14ac:dyDescent="0.15">
      <c r="B15" s="3" t="s">
        <v>7</v>
      </c>
      <c r="C15" s="7" t="s">
        <v>28</v>
      </c>
      <c r="D15" s="6"/>
      <c r="E15" s="6"/>
      <c r="F15" s="3">
        <v>0.16</v>
      </c>
      <c r="G15" s="3">
        <v>600</v>
      </c>
      <c r="H15" s="3">
        <v>10</v>
      </c>
      <c r="I15" s="11"/>
    </row>
    <row r="16" spans="1:9" ht="33.75" x14ac:dyDescent="0.15">
      <c r="B16" s="3" t="s">
        <v>8</v>
      </c>
      <c r="C16" s="7" t="s">
        <v>29</v>
      </c>
      <c r="D16" s="6"/>
      <c r="E16" s="6"/>
      <c r="F16" s="3">
        <v>0.22</v>
      </c>
      <c r="G16" s="3">
        <v>700</v>
      </c>
      <c r="H16" s="3">
        <v>15</v>
      </c>
      <c r="I16" s="11"/>
    </row>
    <row r="17" spans="1:11" ht="22.5" x14ac:dyDescent="0.15">
      <c r="B17" s="3" t="s">
        <v>9</v>
      </c>
      <c r="C17" s="7" t="s">
        <v>30</v>
      </c>
      <c r="D17" s="6"/>
      <c r="E17" s="6"/>
      <c r="F17" s="3">
        <v>0.28999999999999998</v>
      </c>
      <c r="G17" s="3">
        <v>700</v>
      </c>
      <c r="H17" s="3">
        <v>30</v>
      </c>
      <c r="I17" s="12" t="s">
        <v>34</v>
      </c>
    </row>
    <row r="19" spans="1:11" ht="12.75" x14ac:dyDescent="0.15">
      <c r="A19" s="2" t="s">
        <v>52</v>
      </c>
    </row>
    <row r="20" spans="1:11" ht="12.75" x14ac:dyDescent="0.15">
      <c r="B20" s="8" t="s">
        <v>53</v>
      </c>
      <c r="C20" s="8" t="s">
        <v>90</v>
      </c>
    </row>
    <row r="21" spans="1:11" x14ac:dyDescent="0.15">
      <c r="B21" s="3" t="s">
        <v>2</v>
      </c>
      <c r="C21" s="3" t="s">
        <v>6</v>
      </c>
      <c r="D21" s="3" t="s">
        <v>7</v>
      </c>
      <c r="E21" s="3" t="s">
        <v>8</v>
      </c>
      <c r="F21" s="3" t="s">
        <v>9</v>
      </c>
    </row>
    <row r="22" spans="1:11" x14ac:dyDescent="0.15">
      <c r="B22" s="3">
        <v>-100</v>
      </c>
      <c r="C22" s="24">
        <v>1.57</v>
      </c>
      <c r="D22" s="24">
        <v>1.43</v>
      </c>
      <c r="E22" s="24">
        <v>1.25</v>
      </c>
      <c r="F22" s="24">
        <v>1.08</v>
      </c>
      <c r="G22" s="30"/>
      <c r="H22" s="31"/>
      <c r="I22" s="31"/>
      <c r="J22" s="31"/>
      <c r="K22" s="31"/>
    </row>
    <row r="23" spans="1:11" x14ac:dyDescent="0.15">
      <c r="B23" s="3">
        <v>-90</v>
      </c>
      <c r="C23" s="24">
        <v>1.55</v>
      </c>
      <c r="D23" s="24">
        <v>1.41</v>
      </c>
      <c r="E23" s="24">
        <v>1.22</v>
      </c>
      <c r="F23" s="24">
        <v>1.04</v>
      </c>
      <c r="G23" s="30"/>
      <c r="H23" s="31"/>
      <c r="I23" s="31"/>
      <c r="J23" s="31"/>
      <c r="K23" s="31"/>
    </row>
    <row r="24" spans="1:11" x14ac:dyDescent="0.15">
      <c r="B24" s="3">
        <v>-80</v>
      </c>
      <c r="C24" s="24">
        <v>1.53</v>
      </c>
      <c r="D24" s="24">
        <v>1.38</v>
      </c>
      <c r="E24" s="24">
        <v>1.18</v>
      </c>
      <c r="F24" s="24">
        <v>1</v>
      </c>
      <c r="G24" s="30"/>
      <c r="H24" s="31"/>
      <c r="I24" s="31"/>
      <c r="J24" s="31"/>
      <c r="K24" s="31"/>
    </row>
    <row r="25" spans="1:11" x14ac:dyDescent="0.15">
      <c r="B25" s="3">
        <v>-70</v>
      </c>
      <c r="C25" s="24">
        <v>1.5</v>
      </c>
      <c r="D25" s="24">
        <v>1.35</v>
      </c>
      <c r="E25" s="24">
        <v>1.1499999999999999</v>
      </c>
      <c r="F25" s="24">
        <v>0.96</v>
      </c>
      <c r="G25" s="30"/>
      <c r="H25" s="31"/>
      <c r="I25" s="31"/>
      <c r="J25" s="31"/>
      <c r="K25" s="31"/>
    </row>
    <row r="26" spans="1:11" x14ac:dyDescent="0.15">
      <c r="B26" s="3">
        <v>-60</v>
      </c>
      <c r="C26" s="24">
        <v>1.47</v>
      </c>
      <c r="D26" s="24">
        <v>1.31</v>
      </c>
      <c r="E26" s="24">
        <v>1.1100000000000001</v>
      </c>
      <c r="F26" s="24">
        <v>0.92</v>
      </c>
      <c r="G26" s="30"/>
      <c r="H26" s="31"/>
      <c r="I26" s="31"/>
      <c r="J26" s="31"/>
      <c r="K26" s="31"/>
    </row>
    <row r="27" spans="1:11" x14ac:dyDescent="0.15">
      <c r="B27" s="3">
        <v>-50</v>
      </c>
      <c r="C27" s="24">
        <v>1.45</v>
      </c>
      <c r="D27" s="24">
        <v>1.28</v>
      </c>
      <c r="E27" s="24">
        <v>1.07</v>
      </c>
      <c r="F27" s="24">
        <v>0.88</v>
      </c>
      <c r="G27" s="30"/>
      <c r="H27" s="31"/>
      <c r="I27" s="31"/>
      <c r="J27" s="31"/>
      <c r="K27" s="31"/>
    </row>
    <row r="28" spans="1:11" x14ac:dyDescent="0.15">
      <c r="B28" s="3">
        <v>-45</v>
      </c>
      <c r="C28" s="24">
        <v>1.43</v>
      </c>
      <c r="D28" s="24">
        <v>1.26</v>
      </c>
      <c r="E28" s="24">
        <v>1.04</v>
      </c>
      <c r="F28" s="24">
        <v>0.85</v>
      </c>
      <c r="G28" s="30"/>
      <c r="H28" s="31"/>
      <c r="I28" s="31"/>
      <c r="J28" s="31"/>
      <c r="K28" s="31"/>
    </row>
    <row r="29" spans="1:11" x14ac:dyDescent="0.15">
      <c r="B29" s="3">
        <v>-40</v>
      </c>
      <c r="C29" s="24">
        <v>1.41</v>
      </c>
      <c r="D29" s="24">
        <v>1.24</v>
      </c>
      <c r="E29" s="24">
        <v>1.01</v>
      </c>
      <c r="F29" s="24">
        <v>0.82</v>
      </c>
      <c r="G29" s="30"/>
      <c r="H29" s="31"/>
      <c r="I29" s="31"/>
      <c r="J29" s="31"/>
      <c r="K29" s="31"/>
    </row>
    <row r="30" spans="1:11" x14ac:dyDescent="0.15">
      <c r="B30" s="3">
        <v>-35</v>
      </c>
      <c r="C30" s="24">
        <v>1.39</v>
      </c>
      <c r="D30" s="24">
        <v>1.21</v>
      </c>
      <c r="E30" s="24">
        <v>0.98</v>
      </c>
      <c r="F30" s="24">
        <v>0.79</v>
      </c>
      <c r="G30" s="30"/>
      <c r="H30" s="31"/>
      <c r="I30" s="31"/>
      <c r="J30" s="31"/>
      <c r="K30" s="31"/>
    </row>
    <row r="31" spans="1:11" x14ac:dyDescent="0.15">
      <c r="B31" s="3">
        <v>-30</v>
      </c>
      <c r="C31" s="24">
        <v>1.36</v>
      </c>
      <c r="D31" s="24">
        <v>1.18</v>
      </c>
      <c r="E31" s="24">
        <v>0.94</v>
      </c>
      <c r="F31" s="24">
        <v>0.77</v>
      </c>
      <c r="G31" s="30"/>
      <c r="H31" s="31"/>
      <c r="I31" s="31"/>
      <c r="J31" s="31"/>
      <c r="K31" s="31"/>
    </row>
    <row r="32" spans="1:11" x14ac:dyDescent="0.15">
      <c r="B32" s="3">
        <v>-25</v>
      </c>
      <c r="C32" s="24">
        <v>1.33</v>
      </c>
      <c r="D32" s="24">
        <v>1.1399999999999999</v>
      </c>
      <c r="E32" s="24">
        <v>0.9</v>
      </c>
      <c r="F32" s="24">
        <v>0.77</v>
      </c>
      <c r="G32" s="30"/>
      <c r="H32" s="31"/>
      <c r="I32" s="31"/>
      <c r="J32" s="31"/>
      <c r="K32" s="31"/>
    </row>
    <row r="33" spans="1:11" x14ac:dyDescent="0.15">
      <c r="B33" s="3">
        <v>-20</v>
      </c>
      <c r="C33" s="24">
        <v>1.29</v>
      </c>
      <c r="D33" s="24">
        <v>1.0900000000000001</v>
      </c>
      <c r="E33" s="24">
        <v>0.85</v>
      </c>
      <c r="F33" s="24">
        <v>0.77</v>
      </c>
      <c r="G33" s="30"/>
      <c r="H33" s="31"/>
      <c r="I33" s="31"/>
      <c r="J33" s="31"/>
      <c r="K33" s="31"/>
    </row>
    <row r="34" spans="1:11" x14ac:dyDescent="0.15">
      <c r="B34" s="3">
        <v>-15</v>
      </c>
      <c r="C34" s="24">
        <v>1.24</v>
      </c>
      <c r="D34" s="24">
        <v>1.04</v>
      </c>
      <c r="E34" s="24">
        <v>0.83</v>
      </c>
      <c r="F34" s="24">
        <v>0.77</v>
      </c>
      <c r="G34" s="30"/>
      <c r="H34" s="31"/>
      <c r="I34" s="31"/>
      <c r="J34" s="31"/>
      <c r="K34" s="31"/>
    </row>
    <row r="35" spans="1:11" x14ac:dyDescent="0.15">
      <c r="B35" s="3">
        <v>-10</v>
      </c>
      <c r="C35" s="24">
        <v>1.1599999999999999</v>
      </c>
      <c r="D35" s="24">
        <v>1</v>
      </c>
      <c r="E35" s="24">
        <v>0.83</v>
      </c>
      <c r="F35" s="24">
        <v>0.77</v>
      </c>
      <c r="G35" s="30"/>
      <c r="H35" s="31"/>
      <c r="I35" s="31"/>
      <c r="J35" s="31"/>
      <c r="K35" s="31"/>
    </row>
    <row r="36" spans="1:11" x14ac:dyDescent="0.15">
      <c r="B36" s="3">
        <v>-5</v>
      </c>
      <c r="C36" s="24">
        <v>1.1100000000000001</v>
      </c>
      <c r="D36" s="24">
        <v>1</v>
      </c>
      <c r="E36" s="24">
        <v>0.83</v>
      </c>
      <c r="F36" s="24">
        <v>0.77</v>
      </c>
      <c r="G36" s="30"/>
      <c r="H36" s="31"/>
      <c r="I36" s="31"/>
      <c r="J36" s="31"/>
      <c r="K36" s="31"/>
    </row>
    <row r="38" spans="1:11" x14ac:dyDescent="0.15">
      <c r="A38" s="2" t="s">
        <v>54</v>
      </c>
    </row>
    <row r="39" spans="1:11" ht="12.75" x14ac:dyDescent="0.15">
      <c r="B39" s="13" t="s">
        <v>57</v>
      </c>
      <c r="C39" s="2" t="s">
        <v>56</v>
      </c>
    </row>
    <row r="40" spans="1:11" x14ac:dyDescent="0.15">
      <c r="C40" s="2"/>
    </row>
    <row r="41" spans="1:11" x14ac:dyDescent="0.15">
      <c r="A41" s="9" t="str">
        <f>도로교시방서!A23</f>
        <v>완도대교</v>
      </c>
    </row>
    <row r="42" spans="1:11" x14ac:dyDescent="0.15">
      <c r="A42" s="9"/>
      <c r="B42" s="1" t="s">
        <v>88</v>
      </c>
    </row>
    <row r="43" spans="1:11" x14ac:dyDescent="0.15">
      <c r="A43" s="9"/>
      <c r="B43" s="85" t="s">
        <v>2</v>
      </c>
      <c r="C43" s="85"/>
      <c r="D43" s="84" t="s">
        <v>45</v>
      </c>
    </row>
    <row r="44" spans="1:11" x14ac:dyDescent="0.15">
      <c r="B44" s="85" t="s">
        <v>42</v>
      </c>
      <c r="C44" s="85"/>
      <c r="D44" s="88" t="str">
        <f>도로교시방서!D26</f>
        <v>I</v>
      </c>
    </row>
    <row r="45" spans="1:11" x14ac:dyDescent="0.15">
      <c r="B45" s="85" t="s">
        <v>43</v>
      </c>
      <c r="C45" s="85"/>
      <c r="D45" s="88" t="str">
        <f>도로교시방서!D27</f>
        <v>IV</v>
      </c>
    </row>
    <row r="46" spans="1:11" x14ac:dyDescent="0.15">
      <c r="B46" s="89" t="s">
        <v>44</v>
      </c>
      <c r="C46" s="89"/>
      <c r="D46" s="90">
        <f>도로교시방서!D28</f>
        <v>40</v>
      </c>
    </row>
    <row r="47" spans="1:11" x14ac:dyDescent="0.15">
      <c r="A47" s="38"/>
      <c r="B47" s="18"/>
      <c r="C47" s="18"/>
      <c r="D47" s="17"/>
      <c r="E47" s="19"/>
    </row>
    <row r="48" spans="1:11" x14ac:dyDescent="0.15">
      <c r="A48" s="37"/>
      <c r="B48" s="58" t="s">
        <v>35</v>
      </c>
      <c r="C48" s="20"/>
      <c r="D48" s="21"/>
      <c r="E48" s="19"/>
    </row>
    <row r="49" spans="1:6" ht="12.75" x14ac:dyDescent="0.15">
      <c r="A49" s="38"/>
      <c r="B49" s="22" t="s">
        <v>46</v>
      </c>
      <c r="C49" s="3" t="s">
        <v>58</v>
      </c>
      <c r="D49" s="25" t="s">
        <v>36</v>
      </c>
      <c r="E49" s="25"/>
    </row>
    <row r="50" spans="1:6" x14ac:dyDescent="0.15">
      <c r="B50" s="3">
        <f>LOOKUP(D44,B5:B9,G5:G9)</f>
        <v>30</v>
      </c>
      <c r="C50" s="24">
        <f>VLOOKUP(D46*-1,B22:F36,IF(D45="I",2,IF(D45="II",3,IF(D45="III",4,5))))</f>
        <v>0.82</v>
      </c>
      <c r="D50" s="27">
        <f>B50*C50</f>
        <v>24.599999999999998</v>
      </c>
      <c r="E50" s="14"/>
    </row>
    <row r="52" spans="1:6" ht="12.75" x14ac:dyDescent="0.15">
      <c r="A52" s="2" t="s">
        <v>91</v>
      </c>
    </row>
    <row r="53" spans="1:6" ht="12.75" x14ac:dyDescent="0.15">
      <c r="B53" s="8" t="s">
        <v>60</v>
      </c>
      <c r="C53" s="8" t="s">
        <v>92</v>
      </c>
    </row>
    <row r="54" spans="1:6" x14ac:dyDescent="0.15">
      <c r="B54" s="3" t="s">
        <v>2</v>
      </c>
      <c r="C54" s="3" t="s">
        <v>6</v>
      </c>
      <c r="D54" s="3" t="s">
        <v>7</v>
      </c>
      <c r="E54" s="3" t="s">
        <v>8</v>
      </c>
      <c r="F54" s="3" t="s">
        <v>9</v>
      </c>
    </row>
    <row r="55" spans="1:6" x14ac:dyDescent="0.15">
      <c r="B55" s="3">
        <v>-100</v>
      </c>
      <c r="C55" s="24">
        <v>0.11</v>
      </c>
      <c r="D55" s="24">
        <v>0.13</v>
      </c>
      <c r="E55" s="24">
        <v>0.17</v>
      </c>
      <c r="F55" s="24">
        <v>0.22</v>
      </c>
    </row>
    <row r="56" spans="1:6" x14ac:dyDescent="0.15">
      <c r="B56" s="3">
        <v>-70</v>
      </c>
      <c r="C56" s="24">
        <v>0.11</v>
      </c>
      <c r="D56" s="24">
        <v>0.14000000000000001</v>
      </c>
      <c r="E56" s="24">
        <v>0.18</v>
      </c>
      <c r="F56" s="24">
        <v>0.24</v>
      </c>
    </row>
    <row r="57" spans="1:6" x14ac:dyDescent="0.15">
      <c r="B57" s="3">
        <v>-50</v>
      </c>
      <c r="C57" s="24">
        <v>0.12</v>
      </c>
      <c r="D57" s="24">
        <v>0.15</v>
      </c>
      <c r="E57" s="24">
        <v>0.2</v>
      </c>
      <c r="F57" s="24">
        <v>0.26</v>
      </c>
    </row>
    <row r="58" spans="1:6" x14ac:dyDescent="0.15">
      <c r="B58" s="3">
        <v>-40</v>
      </c>
      <c r="C58" s="24">
        <v>0.12</v>
      </c>
      <c r="D58" s="24">
        <v>0.15</v>
      </c>
      <c r="E58" s="24">
        <v>0.21</v>
      </c>
      <c r="F58" s="24">
        <v>0.28000000000000003</v>
      </c>
    </row>
    <row r="59" spans="1:6" x14ac:dyDescent="0.15">
      <c r="B59" s="3">
        <v>-30</v>
      </c>
      <c r="C59" s="24">
        <v>0.13</v>
      </c>
      <c r="D59" s="24">
        <v>0.16</v>
      </c>
      <c r="E59" s="24">
        <v>0.23</v>
      </c>
      <c r="F59" s="24">
        <v>0.28999999999999998</v>
      </c>
    </row>
    <row r="60" spans="1:6" x14ac:dyDescent="0.15">
      <c r="B60" s="3">
        <v>-20</v>
      </c>
      <c r="C60" s="24">
        <v>0.14000000000000001</v>
      </c>
      <c r="D60" s="24">
        <v>0.17</v>
      </c>
      <c r="E60" s="24">
        <v>0.25</v>
      </c>
      <c r="F60" s="24">
        <v>0.28999999999999998</v>
      </c>
    </row>
    <row r="61" spans="1:6" x14ac:dyDescent="0.15">
      <c r="B61" s="3">
        <v>-10</v>
      </c>
      <c r="C61" s="24">
        <v>0.15</v>
      </c>
      <c r="D61" s="24">
        <v>0.19</v>
      </c>
      <c r="E61" s="24">
        <v>0.25</v>
      </c>
      <c r="F61" s="24">
        <v>0.28999999999999998</v>
      </c>
    </row>
    <row r="62" spans="1:6" x14ac:dyDescent="0.15">
      <c r="B62" s="30"/>
      <c r="C62" s="31"/>
      <c r="D62" s="31"/>
      <c r="E62" s="31"/>
      <c r="F62" s="31"/>
    </row>
    <row r="63" spans="1:6" ht="12.75" x14ac:dyDescent="0.15">
      <c r="B63" s="35" t="s">
        <v>59</v>
      </c>
      <c r="C63" s="36">
        <f>VLOOKUP(D46*-1,B55:F61,IF(D45="I",2,IF(D45="II",3,IF(D45="III",4,5))))</f>
        <v>0.28000000000000003</v>
      </c>
      <c r="D63" s="31"/>
      <c r="E63" s="31"/>
      <c r="F63" s="31"/>
    </row>
    <row r="64" spans="1:6" x14ac:dyDescent="0.15">
      <c r="B64" s="30"/>
      <c r="C64" s="31"/>
      <c r="D64" s="31"/>
      <c r="E64" s="31"/>
      <c r="F64" s="31"/>
    </row>
    <row r="65" spans="2:6" x14ac:dyDescent="0.15">
      <c r="B65" s="30"/>
      <c r="C65" s="31"/>
      <c r="D65" s="31"/>
      <c r="E65" s="31"/>
      <c r="F65" s="31"/>
    </row>
    <row r="66" spans="2:6" x14ac:dyDescent="0.15">
      <c r="B66" s="30"/>
      <c r="C66" s="9"/>
      <c r="D66" s="31"/>
      <c r="E66" s="31"/>
      <c r="F66" s="31"/>
    </row>
    <row r="67" spans="2:6" x14ac:dyDescent="0.15">
      <c r="B67" s="30"/>
      <c r="C67" s="31"/>
      <c r="D67" s="31"/>
      <c r="E67" s="31"/>
      <c r="F67" s="31"/>
    </row>
    <row r="68" spans="2:6" x14ac:dyDescent="0.15">
      <c r="B68" s="30"/>
      <c r="C68" s="31"/>
      <c r="D68" s="31"/>
      <c r="E68" s="31"/>
      <c r="F68" s="31"/>
    </row>
    <row r="69" spans="2:6" x14ac:dyDescent="0.15">
      <c r="B69" s="30"/>
      <c r="C69" s="31"/>
      <c r="D69" s="31"/>
      <c r="E69" s="31"/>
      <c r="F69" s="31"/>
    </row>
  </sheetData>
  <phoneticPr fontId="1" type="noConversion"/>
  <pageMargins left="0.65" right="0.63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K74"/>
  <sheetViews>
    <sheetView showGridLines="0" topLeftCell="A23" workbookViewId="0">
      <selection activeCell="E59" sqref="E59"/>
    </sheetView>
  </sheetViews>
  <sheetFormatPr defaultRowHeight="11.25" x14ac:dyDescent="0.15"/>
  <cols>
    <col min="1" max="1" width="4.77734375" style="2" customWidth="1"/>
    <col min="2" max="6" width="8.88671875" style="1"/>
    <col min="7" max="7" width="10.44140625" style="1" customWidth="1"/>
    <col min="8" max="16384" width="8.88671875" style="1"/>
  </cols>
  <sheetData>
    <row r="1" spans="1:7" x14ac:dyDescent="0.15">
      <c r="A1" s="9" t="s">
        <v>229</v>
      </c>
    </row>
    <row r="2" spans="1:7" x14ac:dyDescent="0.15">
      <c r="A2" s="2" t="s">
        <v>51</v>
      </c>
    </row>
    <row r="3" spans="1:7" x14ac:dyDescent="0.15">
      <c r="B3" s="9" t="s">
        <v>0</v>
      </c>
      <c r="C3" s="8"/>
      <c r="D3" s="9" t="s">
        <v>1</v>
      </c>
    </row>
    <row r="4" spans="1:7" x14ac:dyDescent="0.15">
      <c r="B4" s="3" t="s">
        <v>2</v>
      </c>
      <c r="C4" s="3" t="s">
        <v>3</v>
      </c>
      <c r="D4" s="6" t="s">
        <v>4</v>
      </c>
      <c r="E4" s="6"/>
      <c r="F4" s="6"/>
      <c r="G4" s="3" t="s">
        <v>5</v>
      </c>
    </row>
    <row r="5" spans="1:7" ht="24" customHeight="1" x14ac:dyDescent="0.15">
      <c r="B5" s="3" t="s">
        <v>6</v>
      </c>
      <c r="C5" s="3" t="s">
        <v>11</v>
      </c>
      <c r="D5" s="7" t="s">
        <v>15</v>
      </c>
      <c r="E5" s="6"/>
      <c r="F5" s="6"/>
      <c r="G5" s="3">
        <v>30</v>
      </c>
    </row>
    <row r="6" spans="1:7" x14ac:dyDescent="0.15">
      <c r="B6" s="3" t="s">
        <v>7</v>
      </c>
      <c r="C6" s="3" t="s">
        <v>12</v>
      </c>
      <c r="D6" s="6" t="s">
        <v>16</v>
      </c>
      <c r="E6" s="6"/>
      <c r="F6" s="6"/>
      <c r="G6" s="3">
        <v>35</v>
      </c>
    </row>
    <row r="7" spans="1:7" ht="33.75" x14ac:dyDescent="0.15">
      <c r="B7" s="3" t="s">
        <v>8</v>
      </c>
      <c r="C7" s="5" t="s">
        <v>13</v>
      </c>
      <c r="D7" s="6" t="s">
        <v>17</v>
      </c>
      <c r="E7" s="6"/>
      <c r="F7" s="6"/>
      <c r="G7" s="3">
        <v>40</v>
      </c>
    </row>
    <row r="8" spans="1:7" ht="33.75" x14ac:dyDescent="0.15">
      <c r="B8" s="3" t="s">
        <v>9</v>
      </c>
      <c r="C8" s="5" t="s">
        <v>14</v>
      </c>
      <c r="D8" s="6" t="s">
        <v>18</v>
      </c>
      <c r="E8" s="6"/>
      <c r="F8" s="6"/>
      <c r="G8" s="3">
        <v>45</v>
      </c>
    </row>
    <row r="9" spans="1:7" x14ac:dyDescent="0.15">
      <c r="B9" s="3" t="s">
        <v>10</v>
      </c>
      <c r="C9" s="3"/>
      <c r="D9" s="6" t="s">
        <v>19</v>
      </c>
      <c r="E9" s="6"/>
      <c r="F9" s="6"/>
      <c r="G9" s="3">
        <v>50</v>
      </c>
    </row>
    <row r="11" spans="1:7" x14ac:dyDescent="0.15">
      <c r="A11" s="2" t="s">
        <v>61</v>
      </c>
    </row>
    <row r="12" spans="1:7" ht="12.75" x14ac:dyDescent="0.15">
      <c r="B12" s="9" t="s">
        <v>48</v>
      </c>
      <c r="C12" s="8"/>
      <c r="D12" s="9" t="s">
        <v>62</v>
      </c>
    </row>
    <row r="13" spans="1:7" s="30" customFormat="1" ht="12.75" x14ac:dyDescent="0.15">
      <c r="A13" s="39"/>
      <c r="B13" s="3" t="s">
        <v>44</v>
      </c>
      <c r="C13" s="42" t="s">
        <v>63</v>
      </c>
      <c r="D13" s="61" t="s">
        <v>64</v>
      </c>
      <c r="E13" s="42" t="s">
        <v>65</v>
      </c>
      <c r="F13" s="61" t="s">
        <v>66</v>
      </c>
      <c r="G13" s="3" t="s">
        <v>67</v>
      </c>
    </row>
    <row r="14" spans="1:7" s="30" customFormat="1" x14ac:dyDescent="0.15">
      <c r="A14" s="39"/>
      <c r="B14" s="3">
        <v>-200</v>
      </c>
      <c r="C14" s="59">
        <v>1.53</v>
      </c>
      <c r="D14" s="61">
        <v>-1800</v>
      </c>
      <c r="E14" s="42">
        <v>1.1200000000000001</v>
      </c>
      <c r="F14" s="61">
        <v>-260</v>
      </c>
      <c r="G14" s="3">
        <v>1.17</v>
      </c>
    </row>
    <row r="15" spans="1:7" s="30" customFormat="1" x14ac:dyDescent="0.15">
      <c r="A15" s="39"/>
      <c r="B15" s="3">
        <v>-180</v>
      </c>
      <c r="C15" s="60">
        <v>1.51</v>
      </c>
      <c r="D15" s="61">
        <v>-1500</v>
      </c>
      <c r="E15" s="42">
        <v>1.1200000000000001</v>
      </c>
      <c r="F15" s="61">
        <v>-200</v>
      </c>
      <c r="G15" s="3">
        <v>1.17</v>
      </c>
    </row>
    <row r="16" spans="1:7" s="30" customFormat="1" x14ac:dyDescent="0.15">
      <c r="A16" s="39"/>
      <c r="B16" s="3">
        <v>-160</v>
      </c>
      <c r="C16" s="60">
        <v>1.49</v>
      </c>
      <c r="D16" s="61">
        <v>-1200</v>
      </c>
      <c r="E16" s="42">
        <v>1.1299999999999999</v>
      </c>
      <c r="F16" s="61">
        <v>-160</v>
      </c>
      <c r="G16" s="3">
        <v>1.18</v>
      </c>
    </row>
    <row r="17" spans="1:11" s="30" customFormat="1" x14ac:dyDescent="0.15">
      <c r="A17" s="39"/>
      <c r="B17" s="3">
        <v>-140</v>
      </c>
      <c r="C17" s="60">
        <v>1.46</v>
      </c>
      <c r="D17" s="61">
        <v>-1000</v>
      </c>
      <c r="E17" s="42">
        <v>1.1399999999999999</v>
      </c>
      <c r="F17" s="61">
        <v>-120</v>
      </c>
      <c r="G17" s="3">
        <v>1.19</v>
      </c>
    </row>
    <row r="18" spans="1:11" s="30" customFormat="1" x14ac:dyDescent="0.15">
      <c r="A18" s="39"/>
      <c r="B18" s="3">
        <v>-120</v>
      </c>
      <c r="C18" s="42">
        <v>1.43</v>
      </c>
      <c r="D18" s="61">
        <v>-800</v>
      </c>
      <c r="E18" s="42">
        <v>1.1499999999999999</v>
      </c>
      <c r="F18" s="61">
        <v>-100</v>
      </c>
      <c r="G18" s="3">
        <v>1.19</v>
      </c>
    </row>
    <row r="19" spans="1:11" s="30" customFormat="1" x14ac:dyDescent="0.15">
      <c r="A19" s="39"/>
      <c r="B19" s="3">
        <v>-100</v>
      </c>
      <c r="C19" s="42">
        <v>1.39</v>
      </c>
      <c r="D19" s="61">
        <v>-650</v>
      </c>
      <c r="E19" s="42">
        <v>1.1599999999999999</v>
      </c>
      <c r="F19" s="61">
        <v>-80</v>
      </c>
      <c r="G19" s="24">
        <v>1.2</v>
      </c>
    </row>
    <row r="20" spans="1:11" s="30" customFormat="1" x14ac:dyDescent="0.15">
      <c r="A20" s="39"/>
      <c r="B20" s="3">
        <v>-90</v>
      </c>
      <c r="C20" s="42">
        <v>1.37</v>
      </c>
      <c r="D20" s="61">
        <v>-500</v>
      </c>
      <c r="E20" s="3">
        <v>1.17</v>
      </c>
    </row>
    <row r="21" spans="1:11" s="30" customFormat="1" x14ac:dyDescent="0.15">
      <c r="A21" s="39"/>
      <c r="B21" s="3">
        <v>-80</v>
      </c>
      <c r="C21" s="42">
        <v>1.35</v>
      </c>
      <c r="D21" s="61">
        <v>-400</v>
      </c>
      <c r="E21" s="3">
        <v>1.18</v>
      </c>
    </row>
    <row r="22" spans="1:11" s="30" customFormat="1" x14ac:dyDescent="0.15">
      <c r="A22" s="39"/>
      <c r="B22" s="3">
        <v>-70</v>
      </c>
      <c r="C22" s="29">
        <v>1.32</v>
      </c>
      <c r="D22" s="62">
        <v>-300</v>
      </c>
      <c r="E22" s="24">
        <v>1.19</v>
      </c>
      <c r="F22" s="31"/>
      <c r="H22" s="31"/>
      <c r="I22" s="31"/>
      <c r="J22" s="31"/>
      <c r="K22" s="31"/>
    </row>
    <row r="23" spans="1:11" s="30" customFormat="1" x14ac:dyDescent="0.15">
      <c r="A23" s="39"/>
      <c r="B23" s="3">
        <v>-60</v>
      </c>
      <c r="C23" s="29">
        <v>1.29</v>
      </c>
      <c r="D23" s="62">
        <v>-200</v>
      </c>
      <c r="E23" s="24">
        <v>1.21</v>
      </c>
      <c r="F23" s="31"/>
      <c r="H23" s="31"/>
      <c r="I23" s="31"/>
      <c r="J23" s="31"/>
      <c r="K23" s="31"/>
    </row>
    <row r="24" spans="1:11" s="30" customFormat="1" x14ac:dyDescent="0.15">
      <c r="A24" s="39"/>
      <c r="B24" s="3">
        <v>-50</v>
      </c>
      <c r="C24" s="24">
        <v>1.26</v>
      </c>
      <c r="D24" s="31"/>
      <c r="E24" s="31"/>
      <c r="F24" s="31"/>
      <c r="H24" s="31"/>
      <c r="I24" s="31"/>
      <c r="J24" s="31"/>
      <c r="K24" s="31"/>
    </row>
    <row r="25" spans="1:11" s="30" customFormat="1" x14ac:dyDescent="0.15">
      <c r="A25" s="39"/>
      <c r="B25" s="3">
        <v>-40</v>
      </c>
      <c r="C25" s="24">
        <v>1.22</v>
      </c>
      <c r="D25" s="31"/>
      <c r="E25" s="31"/>
      <c r="F25" s="31"/>
      <c r="H25" s="31"/>
      <c r="I25" s="31"/>
      <c r="J25" s="31"/>
      <c r="K25" s="31"/>
    </row>
    <row r="26" spans="1:11" s="30" customFormat="1" x14ac:dyDescent="0.15">
      <c r="A26" s="39"/>
      <c r="B26" s="3">
        <v>-30</v>
      </c>
      <c r="C26" s="24">
        <v>1.17</v>
      </c>
      <c r="D26" s="31"/>
      <c r="E26" s="31"/>
      <c r="F26" s="31"/>
      <c r="H26" s="31"/>
      <c r="I26" s="31"/>
      <c r="J26" s="31"/>
      <c r="K26" s="31"/>
    </row>
    <row r="27" spans="1:11" s="30" customFormat="1" x14ac:dyDescent="0.15">
      <c r="A27" s="39"/>
      <c r="B27" s="3">
        <v>-20</v>
      </c>
      <c r="C27" s="24">
        <v>1.1000000000000001</v>
      </c>
      <c r="D27" s="31"/>
      <c r="E27" s="31"/>
      <c r="F27" s="31"/>
      <c r="H27" s="31"/>
      <c r="I27" s="31"/>
      <c r="J27" s="31"/>
      <c r="K27" s="31"/>
    </row>
    <row r="28" spans="1:11" s="30" customFormat="1" x14ac:dyDescent="0.15">
      <c r="A28" s="39"/>
      <c r="B28" s="3">
        <v>-10</v>
      </c>
      <c r="C28" s="24">
        <v>1</v>
      </c>
      <c r="D28" s="31"/>
      <c r="E28" s="31"/>
      <c r="F28" s="31"/>
      <c r="H28" s="31"/>
      <c r="I28" s="31"/>
      <c r="J28" s="31"/>
      <c r="K28" s="31"/>
    </row>
    <row r="29" spans="1:11" x14ac:dyDescent="0.15">
      <c r="B29" s="30"/>
      <c r="C29" s="31"/>
      <c r="D29" s="31"/>
      <c r="E29" s="31"/>
      <c r="F29" s="31"/>
      <c r="G29" s="30"/>
      <c r="H29" s="31"/>
      <c r="I29" s="31"/>
      <c r="J29" s="31"/>
      <c r="K29" s="31"/>
    </row>
    <row r="30" spans="1:11" x14ac:dyDescent="0.15">
      <c r="B30" s="9" t="s">
        <v>68</v>
      </c>
      <c r="D30" s="31"/>
      <c r="E30" s="31"/>
      <c r="F30" s="31"/>
      <c r="G30" s="30"/>
      <c r="H30" s="31"/>
      <c r="I30" s="31"/>
      <c r="J30" s="31"/>
      <c r="K30" s="31"/>
    </row>
    <row r="31" spans="1:11" ht="12.75" x14ac:dyDescent="0.15">
      <c r="B31" s="13" t="s">
        <v>69</v>
      </c>
      <c r="C31" s="2" t="s">
        <v>70</v>
      </c>
      <c r="D31" s="40" t="s">
        <v>71</v>
      </c>
      <c r="E31" s="31"/>
      <c r="F31" s="31"/>
      <c r="G31" s="30"/>
      <c r="H31" s="31"/>
      <c r="I31" s="31"/>
      <c r="J31" s="31"/>
      <c r="K31" s="31"/>
    </row>
    <row r="32" spans="1:11" ht="12.75" x14ac:dyDescent="0.15">
      <c r="B32" s="13" t="s">
        <v>69</v>
      </c>
      <c r="C32" s="2" t="s">
        <v>70</v>
      </c>
      <c r="D32" s="40" t="s">
        <v>72</v>
      </c>
      <c r="E32" s="31"/>
      <c r="F32" s="31"/>
      <c r="G32" s="30"/>
      <c r="H32" s="31"/>
      <c r="I32" s="31"/>
      <c r="J32" s="31"/>
      <c r="K32" s="31"/>
    </row>
    <row r="33" spans="1:11" x14ac:dyDescent="0.15">
      <c r="B33" s="30"/>
      <c r="C33" s="31"/>
      <c r="D33" s="31"/>
      <c r="E33" s="31"/>
      <c r="F33" s="31"/>
      <c r="G33" s="30"/>
      <c r="H33" s="31"/>
      <c r="I33" s="31"/>
      <c r="J33" s="31"/>
      <c r="K33" s="31"/>
    </row>
    <row r="34" spans="1:11" x14ac:dyDescent="0.15">
      <c r="B34" s="9" t="str">
        <f>도로교시방서!A23</f>
        <v>완도대교</v>
      </c>
      <c r="E34" s="31"/>
      <c r="F34" s="31"/>
      <c r="G34" s="30"/>
      <c r="H34" s="31"/>
      <c r="I34" s="31"/>
      <c r="J34" s="31"/>
      <c r="K34" s="31"/>
    </row>
    <row r="35" spans="1:11" x14ac:dyDescent="0.15">
      <c r="A35" s="9"/>
      <c r="B35" s="1" t="s">
        <v>88</v>
      </c>
      <c r="E35" s="31"/>
      <c r="F35" s="31"/>
      <c r="G35" s="30"/>
      <c r="H35" s="31"/>
      <c r="I35" s="31"/>
      <c r="J35" s="31"/>
      <c r="K35" s="31"/>
    </row>
    <row r="36" spans="1:11" x14ac:dyDescent="0.15">
      <c r="A36" s="9"/>
      <c r="B36" s="6" t="s">
        <v>2</v>
      </c>
      <c r="C36" s="6"/>
      <c r="D36" s="3" t="s">
        <v>45</v>
      </c>
      <c r="E36" s="31"/>
      <c r="F36" s="31"/>
      <c r="G36" s="30"/>
      <c r="H36" s="31"/>
      <c r="I36" s="31"/>
      <c r="J36" s="31"/>
      <c r="K36" s="31"/>
    </row>
    <row r="37" spans="1:11" x14ac:dyDescent="0.15">
      <c r="B37" s="6" t="s">
        <v>44</v>
      </c>
      <c r="C37" s="6"/>
      <c r="D37" s="22">
        <f>도로교시방서!D28</f>
        <v>40</v>
      </c>
      <c r="E37" s="31"/>
      <c r="F37" s="31"/>
      <c r="G37" s="30"/>
      <c r="H37" s="31"/>
      <c r="I37" s="31"/>
      <c r="J37" s="31"/>
      <c r="K37" s="31"/>
    </row>
    <row r="38" spans="1:11" x14ac:dyDescent="0.15">
      <c r="B38" s="6" t="s">
        <v>64</v>
      </c>
      <c r="C38" s="6"/>
      <c r="D38" s="15">
        <v>145</v>
      </c>
    </row>
    <row r="39" spans="1:11" x14ac:dyDescent="0.15">
      <c r="B39" s="6" t="s">
        <v>73</v>
      </c>
      <c r="C39" s="6"/>
      <c r="D39" s="15">
        <v>0</v>
      </c>
    </row>
    <row r="41" spans="1:11" x14ac:dyDescent="0.15">
      <c r="A41" s="37"/>
      <c r="B41" s="1" t="s">
        <v>35</v>
      </c>
      <c r="C41" s="2"/>
    </row>
    <row r="42" spans="1:11" ht="13.5" x14ac:dyDescent="0.15">
      <c r="B42" s="3" t="s">
        <v>76</v>
      </c>
      <c r="C42" s="22" t="s">
        <v>63</v>
      </c>
      <c r="D42" s="22" t="s">
        <v>74</v>
      </c>
      <c r="E42" s="22" t="s">
        <v>75</v>
      </c>
      <c r="F42" s="25" t="s">
        <v>36</v>
      </c>
      <c r="G42" s="25"/>
    </row>
    <row r="43" spans="1:11" x14ac:dyDescent="0.15">
      <c r="B43" s="3">
        <f>도로교시방서!B32</f>
        <v>27.900000000000002</v>
      </c>
      <c r="C43" s="3">
        <f>LOOKUP(D37*-1,B14:B28,C14:C28)</f>
        <v>1.22</v>
      </c>
      <c r="D43" s="3">
        <f>LOOKUP(D38*-1,D14:D23,E14:E23)</f>
        <v>1.21</v>
      </c>
      <c r="E43" s="24">
        <f>LOOKUP(D39*-1,F14:F19,G14:G19)</f>
        <v>1.2</v>
      </c>
      <c r="F43" s="27">
        <f>IF(D38&gt;D39,C43*D43*B43,C43*E43*B43)</f>
        <v>41.185980000000001</v>
      </c>
      <c r="G43" s="14"/>
    </row>
    <row r="46" spans="1:11" x14ac:dyDescent="0.15">
      <c r="A46" s="1" t="s">
        <v>78</v>
      </c>
      <c r="B46" s="30"/>
      <c r="C46" s="30"/>
      <c r="D46" s="30"/>
    </row>
    <row r="47" spans="1:11" x14ac:dyDescent="0.15">
      <c r="A47" s="19"/>
      <c r="B47" s="41" t="s">
        <v>77</v>
      </c>
      <c r="C47" s="25" t="s">
        <v>79</v>
      </c>
      <c r="D47" s="25"/>
      <c r="E47" s="25"/>
      <c r="F47" s="16" t="s">
        <v>81</v>
      </c>
      <c r="G47" s="16"/>
    </row>
    <row r="48" spans="1:11" x14ac:dyDescent="0.15">
      <c r="A48" s="1"/>
      <c r="B48" s="10"/>
      <c r="C48" s="53" t="s">
        <v>80</v>
      </c>
      <c r="D48" s="53"/>
      <c r="E48" s="53"/>
      <c r="F48" s="48"/>
      <c r="G48" s="49"/>
    </row>
    <row r="49" spans="1:8" ht="22.5" x14ac:dyDescent="0.15">
      <c r="A49" s="1"/>
      <c r="B49" s="52" t="s">
        <v>63</v>
      </c>
      <c r="C49" s="54" t="s">
        <v>82</v>
      </c>
      <c r="D49" s="55"/>
      <c r="E49" s="55"/>
      <c r="F49" s="44" t="s">
        <v>83</v>
      </c>
      <c r="G49" s="45"/>
    </row>
    <row r="50" spans="1:8" x14ac:dyDescent="0.15">
      <c r="A50" s="1"/>
      <c r="B50" s="47"/>
      <c r="C50" s="46" t="s">
        <v>84</v>
      </c>
      <c r="D50" s="46"/>
      <c r="E50" s="46"/>
      <c r="F50" s="56"/>
      <c r="G50" s="57"/>
    </row>
    <row r="51" spans="1:8" ht="13.5" x14ac:dyDescent="0.15">
      <c r="A51" s="19"/>
      <c r="B51" s="47" t="s">
        <v>74</v>
      </c>
      <c r="C51" s="25" t="s">
        <v>85</v>
      </c>
      <c r="D51" s="25"/>
      <c r="E51" s="43"/>
      <c r="F51" s="43" t="s">
        <v>85</v>
      </c>
      <c r="G51" s="50"/>
      <c r="H51" s="19"/>
    </row>
    <row r="52" spans="1:8" ht="13.5" x14ac:dyDescent="0.15">
      <c r="A52" s="19"/>
      <c r="B52" s="22" t="s">
        <v>75</v>
      </c>
      <c r="C52" s="25" t="s">
        <v>86</v>
      </c>
      <c r="D52" s="25"/>
      <c r="E52" s="25"/>
      <c r="F52" s="51" t="s">
        <v>87</v>
      </c>
      <c r="G52" s="46"/>
      <c r="H52" s="19"/>
    </row>
    <row r="53" spans="1:8" x14ac:dyDescent="0.15">
      <c r="A53" s="19"/>
      <c r="B53" s="19"/>
      <c r="C53" s="19"/>
      <c r="D53" s="19"/>
      <c r="E53" s="19"/>
      <c r="F53" s="19"/>
      <c r="G53" s="19"/>
      <c r="H53" s="19"/>
    </row>
    <row r="54" spans="1:8" x14ac:dyDescent="0.15">
      <c r="A54" s="19"/>
      <c r="B54" s="19"/>
      <c r="C54" s="19"/>
      <c r="D54" s="19"/>
      <c r="E54" s="19"/>
      <c r="F54" s="19"/>
      <c r="G54" s="19"/>
      <c r="H54" s="19"/>
    </row>
    <row r="55" spans="1:8" x14ac:dyDescent="0.15">
      <c r="A55" s="19"/>
      <c r="B55" s="19"/>
      <c r="C55" s="19"/>
      <c r="D55" s="19"/>
      <c r="E55" s="19"/>
      <c r="F55" s="19"/>
      <c r="G55" s="19"/>
      <c r="H55" s="19"/>
    </row>
    <row r="56" spans="1:8" x14ac:dyDescent="0.15">
      <c r="A56" s="19"/>
      <c r="B56" s="19"/>
      <c r="C56" s="19"/>
      <c r="D56" s="19"/>
      <c r="E56" s="19"/>
      <c r="F56" s="19"/>
      <c r="G56" s="19"/>
      <c r="H56" s="19"/>
    </row>
    <row r="57" spans="1:8" x14ac:dyDescent="0.15">
      <c r="A57" s="19"/>
      <c r="B57" s="19"/>
      <c r="C57" s="33"/>
      <c r="D57" s="33"/>
      <c r="E57" s="33"/>
      <c r="F57" s="33"/>
      <c r="G57" s="19"/>
      <c r="H57" s="19"/>
    </row>
    <row r="58" spans="1:8" x14ac:dyDescent="0.15">
      <c r="A58" s="19"/>
      <c r="B58" s="19"/>
      <c r="C58" s="33"/>
      <c r="D58" s="33"/>
      <c r="E58" s="33"/>
      <c r="F58" s="33"/>
      <c r="G58" s="19"/>
      <c r="H58" s="19"/>
    </row>
    <row r="59" spans="1:8" x14ac:dyDescent="0.15">
      <c r="A59" s="19"/>
      <c r="B59" s="19"/>
      <c r="C59" s="33"/>
      <c r="D59" s="33"/>
      <c r="E59" s="33"/>
      <c r="F59" s="33"/>
      <c r="G59" s="19"/>
      <c r="H59" s="19"/>
    </row>
    <row r="60" spans="1:8" x14ac:dyDescent="0.15">
      <c r="A60" s="19"/>
      <c r="B60" s="19"/>
      <c r="C60" s="33"/>
      <c r="D60" s="33"/>
      <c r="E60" s="33"/>
      <c r="F60" s="33"/>
      <c r="G60" s="19"/>
      <c r="H60" s="19"/>
    </row>
    <row r="61" spans="1:8" x14ac:dyDescent="0.15">
      <c r="A61" s="19"/>
      <c r="B61" s="19"/>
      <c r="C61" s="33"/>
      <c r="D61" s="33"/>
      <c r="E61" s="33"/>
      <c r="F61" s="33"/>
      <c r="G61" s="19"/>
      <c r="H61" s="19"/>
    </row>
    <row r="62" spans="1:8" x14ac:dyDescent="0.15">
      <c r="A62" s="19"/>
      <c r="B62" s="19"/>
      <c r="C62" s="33"/>
      <c r="D62" s="33"/>
      <c r="E62" s="33"/>
      <c r="F62" s="33"/>
      <c r="G62" s="19"/>
      <c r="H62" s="19"/>
    </row>
    <row r="63" spans="1:8" x14ac:dyDescent="0.15">
      <c r="A63" s="19"/>
      <c r="B63" s="19"/>
      <c r="C63" s="33"/>
      <c r="D63" s="33"/>
      <c r="E63" s="33"/>
      <c r="F63" s="33"/>
      <c r="G63" s="19"/>
      <c r="H63" s="19"/>
    </row>
    <row r="64" spans="1:8" x14ac:dyDescent="0.15">
      <c r="A64" s="19"/>
      <c r="B64" s="19"/>
      <c r="C64" s="33"/>
      <c r="D64" s="33"/>
      <c r="E64" s="33"/>
      <c r="F64" s="33"/>
      <c r="G64" s="19"/>
      <c r="H64" s="19"/>
    </row>
    <row r="65" spans="1:8" x14ac:dyDescent="0.15">
      <c r="A65" s="19"/>
      <c r="B65" s="19"/>
      <c r="C65" s="33"/>
      <c r="D65" s="33"/>
      <c r="E65" s="33"/>
      <c r="F65" s="33"/>
      <c r="G65" s="19"/>
      <c r="H65" s="19"/>
    </row>
    <row r="66" spans="1:8" x14ac:dyDescent="0.15">
      <c r="A66" s="19"/>
      <c r="B66" s="19"/>
      <c r="C66" s="33"/>
      <c r="D66" s="33"/>
      <c r="E66" s="33"/>
      <c r="F66" s="33"/>
      <c r="G66" s="19"/>
      <c r="H66" s="19"/>
    </row>
    <row r="67" spans="1:8" x14ac:dyDescent="0.15">
      <c r="A67" s="19"/>
      <c r="B67" s="19"/>
      <c r="C67" s="33"/>
      <c r="D67" s="33"/>
      <c r="E67" s="33"/>
      <c r="F67" s="33"/>
      <c r="G67" s="19"/>
      <c r="H67" s="19"/>
    </row>
    <row r="68" spans="1:8" x14ac:dyDescent="0.15">
      <c r="A68" s="1"/>
      <c r="B68" s="30"/>
      <c r="C68" s="31"/>
      <c r="D68" s="31"/>
      <c r="E68" s="31"/>
      <c r="F68" s="31"/>
    </row>
    <row r="69" spans="1:8" x14ac:dyDescent="0.15">
      <c r="A69" s="1"/>
      <c r="B69" s="30"/>
      <c r="C69" s="31"/>
      <c r="D69" s="31"/>
      <c r="E69" s="31"/>
      <c r="F69" s="31"/>
    </row>
    <row r="70" spans="1:8" x14ac:dyDescent="0.15">
      <c r="A70" s="1"/>
      <c r="B70" s="30"/>
      <c r="C70" s="31"/>
      <c r="D70" s="31"/>
      <c r="E70" s="31"/>
      <c r="F70" s="31"/>
    </row>
    <row r="71" spans="1:8" x14ac:dyDescent="0.15">
      <c r="A71" s="1"/>
      <c r="B71" s="30"/>
      <c r="C71" s="31"/>
      <c r="D71" s="31"/>
      <c r="E71" s="31"/>
      <c r="F71" s="31"/>
    </row>
    <row r="72" spans="1:8" x14ac:dyDescent="0.15">
      <c r="A72" s="1"/>
    </row>
    <row r="73" spans="1:8" x14ac:dyDescent="0.15">
      <c r="A73" s="1"/>
    </row>
    <row r="74" spans="1:8" x14ac:dyDescent="0.15">
      <c r="A74" s="1"/>
    </row>
  </sheetData>
  <phoneticPr fontId="1" type="noConversion"/>
  <pageMargins left="0.65" right="0.63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K96"/>
  <sheetViews>
    <sheetView showGridLines="0" topLeftCell="A56" workbookViewId="0">
      <selection activeCell="D71" sqref="D71"/>
    </sheetView>
  </sheetViews>
  <sheetFormatPr defaultRowHeight="11.25" x14ac:dyDescent="0.15"/>
  <cols>
    <col min="1" max="1" width="4.77734375" style="2" customWidth="1"/>
    <col min="2" max="6" width="8.88671875" style="1"/>
    <col min="7" max="7" width="10.44140625" style="1" customWidth="1"/>
    <col min="8" max="16384" width="8.88671875" style="1"/>
  </cols>
  <sheetData>
    <row r="1" spans="1:8" x14ac:dyDescent="0.15">
      <c r="A1" s="9" t="s">
        <v>230</v>
      </c>
    </row>
    <row r="2" spans="1:8" x14ac:dyDescent="0.15">
      <c r="A2" s="2" t="s">
        <v>51</v>
      </c>
    </row>
    <row r="3" spans="1:8" ht="12.75" x14ac:dyDescent="0.15">
      <c r="B3" s="9" t="s">
        <v>119</v>
      </c>
      <c r="C3" s="9" t="s">
        <v>138</v>
      </c>
      <c r="E3" s="28"/>
      <c r="F3" s="28"/>
      <c r="G3" s="28"/>
    </row>
    <row r="4" spans="1:8" x14ac:dyDescent="0.15">
      <c r="B4" s="3" t="s">
        <v>2</v>
      </c>
      <c r="C4" s="6" t="s">
        <v>3</v>
      </c>
      <c r="D4" s="6"/>
      <c r="E4" s="6"/>
      <c r="F4" s="6"/>
      <c r="G4" s="6"/>
      <c r="H4" s="63" t="s">
        <v>5</v>
      </c>
    </row>
    <row r="5" spans="1:8" ht="24" customHeight="1" x14ac:dyDescent="0.15">
      <c r="B5" s="130" t="s">
        <v>97</v>
      </c>
      <c r="C5" s="7" t="s">
        <v>99</v>
      </c>
      <c r="D5" s="7"/>
      <c r="E5" s="6"/>
      <c r="F5" s="6"/>
      <c r="G5" s="6"/>
      <c r="H5" s="3">
        <v>30</v>
      </c>
    </row>
    <row r="6" spans="1:8" ht="24" customHeight="1" x14ac:dyDescent="0.15">
      <c r="B6" s="132"/>
      <c r="C6" s="7" t="s">
        <v>100</v>
      </c>
      <c r="D6" s="7"/>
      <c r="E6" s="6"/>
      <c r="F6" s="6"/>
      <c r="G6" s="6"/>
      <c r="H6" s="3">
        <v>25</v>
      </c>
    </row>
    <row r="7" spans="1:8" x14ac:dyDescent="0.15">
      <c r="B7" s="130" t="s">
        <v>96</v>
      </c>
      <c r="C7" s="6" t="s">
        <v>101</v>
      </c>
      <c r="D7" s="6"/>
      <c r="E7" s="6"/>
      <c r="F7" s="6"/>
      <c r="G7" s="6"/>
      <c r="H7" s="3">
        <v>40</v>
      </c>
    </row>
    <row r="8" spans="1:8" x14ac:dyDescent="0.15">
      <c r="B8" s="131"/>
      <c r="C8" s="6" t="s">
        <v>102</v>
      </c>
      <c r="D8" s="6"/>
      <c r="E8" s="6"/>
      <c r="F8" s="6"/>
      <c r="G8" s="6"/>
      <c r="H8" s="3">
        <v>35</v>
      </c>
    </row>
    <row r="9" spans="1:8" x14ac:dyDescent="0.15">
      <c r="B9" s="132"/>
      <c r="C9" s="6" t="s">
        <v>103</v>
      </c>
      <c r="D9" s="6"/>
      <c r="E9" s="6"/>
      <c r="F9" s="6"/>
      <c r="G9" s="6"/>
      <c r="H9" s="3">
        <v>25</v>
      </c>
    </row>
    <row r="10" spans="1:8" x14ac:dyDescent="0.15">
      <c r="B10" s="130" t="s">
        <v>95</v>
      </c>
      <c r="C10" s="7" t="s">
        <v>104</v>
      </c>
      <c r="D10" s="6"/>
      <c r="E10" s="6"/>
      <c r="F10" s="6"/>
      <c r="G10" s="6"/>
      <c r="H10" s="3">
        <v>40</v>
      </c>
    </row>
    <row r="11" spans="1:8" x14ac:dyDescent="0.15">
      <c r="B11" s="131"/>
      <c r="C11" s="7" t="s">
        <v>105</v>
      </c>
      <c r="D11" s="6"/>
      <c r="E11" s="6"/>
      <c r="F11" s="6"/>
      <c r="G11" s="6"/>
      <c r="H11" s="3">
        <v>35</v>
      </c>
    </row>
    <row r="12" spans="1:8" x14ac:dyDescent="0.15">
      <c r="B12" s="131"/>
      <c r="C12" s="7" t="s">
        <v>106</v>
      </c>
      <c r="D12" s="6"/>
      <c r="E12" s="6"/>
      <c r="F12" s="6"/>
      <c r="G12" s="6"/>
      <c r="H12" s="3">
        <v>30</v>
      </c>
    </row>
    <row r="13" spans="1:8" x14ac:dyDescent="0.15">
      <c r="B13" s="132"/>
      <c r="C13" s="7" t="s">
        <v>107</v>
      </c>
      <c r="D13" s="6"/>
      <c r="E13" s="6"/>
      <c r="F13" s="6"/>
      <c r="G13" s="6"/>
      <c r="H13" s="3">
        <v>25</v>
      </c>
    </row>
    <row r="14" spans="1:8" x14ac:dyDescent="0.15">
      <c r="B14" s="130" t="s">
        <v>94</v>
      </c>
      <c r="C14" s="7" t="s">
        <v>108</v>
      </c>
      <c r="D14" s="6"/>
      <c r="E14" s="6"/>
      <c r="F14" s="6"/>
      <c r="G14" s="6"/>
      <c r="H14" s="3">
        <v>45</v>
      </c>
    </row>
    <row r="15" spans="1:8" x14ac:dyDescent="0.15">
      <c r="B15" s="131"/>
      <c r="C15" s="7" t="s">
        <v>109</v>
      </c>
      <c r="D15" s="6"/>
      <c r="E15" s="6"/>
      <c r="F15" s="6"/>
      <c r="G15" s="6"/>
      <c r="H15" s="3">
        <v>40</v>
      </c>
    </row>
    <row r="16" spans="1:8" ht="22.5" x14ac:dyDescent="0.15">
      <c r="B16" s="131"/>
      <c r="C16" s="7" t="s">
        <v>110</v>
      </c>
      <c r="D16" s="6"/>
      <c r="E16" s="6"/>
      <c r="F16" s="6"/>
      <c r="G16" s="6"/>
      <c r="H16" s="3">
        <v>35</v>
      </c>
    </row>
    <row r="17" spans="1:9" x14ac:dyDescent="0.15">
      <c r="B17" s="131"/>
      <c r="C17" s="7" t="s">
        <v>111</v>
      </c>
      <c r="D17" s="6"/>
      <c r="E17" s="6"/>
      <c r="F17" s="6"/>
      <c r="G17" s="6"/>
      <c r="H17" s="3">
        <v>30</v>
      </c>
    </row>
    <row r="18" spans="1:9" ht="33.75" x14ac:dyDescent="0.15">
      <c r="B18" s="132"/>
      <c r="C18" s="7" t="s">
        <v>112</v>
      </c>
      <c r="D18" s="6"/>
      <c r="E18" s="6"/>
      <c r="F18" s="6"/>
      <c r="G18" s="6"/>
      <c r="H18" s="3">
        <v>25</v>
      </c>
    </row>
    <row r="19" spans="1:9" x14ac:dyDescent="0.15">
      <c r="B19" s="130" t="s">
        <v>93</v>
      </c>
      <c r="C19" s="7" t="s">
        <v>113</v>
      </c>
      <c r="D19" s="6"/>
      <c r="E19" s="6"/>
      <c r="F19" s="6"/>
      <c r="G19" s="6"/>
      <c r="H19" s="3">
        <v>40</v>
      </c>
    </row>
    <row r="20" spans="1:9" x14ac:dyDescent="0.15">
      <c r="B20" s="131"/>
      <c r="C20" s="7" t="s">
        <v>114</v>
      </c>
      <c r="D20" s="6"/>
      <c r="E20" s="6"/>
      <c r="F20" s="6"/>
      <c r="G20" s="6"/>
      <c r="H20" s="3">
        <v>35</v>
      </c>
    </row>
    <row r="21" spans="1:9" ht="22.5" x14ac:dyDescent="0.15">
      <c r="B21" s="131"/>
      <c r="C21" s="7" t="s">
        <v>115</v>
      </c>
      <c r="D21" s="6"/>
      <c r="E21" s="6"/>
      <c r="F21" s="6"/>
      <c r="G21" s="6"/>
      <c r="H21" s="3">
        <v>30</v>
      </c>
    </row>
    <row r="22" spans="1:9" ht="22.5" x14ac:dyDescent="0.15">
      <c r="B22" s="132"/>
      <c r="C22" s="7" t="s">
        <v>116</v>
      </c>
      <c r="D22" s="6"/>
      <c r="E22" s="6"/>
      <c r="F22" s="6"/>
      <c r="G22" s="6"/>
      <c r="H22" s="3">
        <v>25</v>
      </c>
    </row>
    <row r="23" spans="1:9" x14ac:dyDescent="0.15">
      <c r="B23" s="3" t="s">
        <v>98</v>
      </c>
      <c r="C23" s="6" t="s">
        <v>117</v>
      </c>
      <c r="D23" s="6"/>
      <c r="E23" s="6"/>
      <c r="F23" s="6"/>
      <c r="G23" s="6"/>
      <c r="H23" s="3">
        <v>40</v>
      </c>
    </row>
    <row r="25" spans="1:9" x14ac:dyDescent="0.15">
      <c r="A25" s="2" t="s">
        <v>118</v>
      </c>
    </row>
    <row r="26" spans="1:9" x14ac:dyDescent="0.15">
      <c r="B26" s="9" t="s">
        <v>120</v>
      </c>
      <c r="C26" s="9" t="s">
        <v>121</v>
      </c>
    </row>
    <row r="27" spans="1:9" x14ac:dyDescent="0.15">
      <c r="B27" s="3" t="s">
        <v>122</v>
      </c>
      <c r="C27" s="59" t="s">
        <v>127</v>
      </c>
      <c r="D27" s="64"/>
      <c r="E27" s="64"/>
      <c r="F27" s="64"/>
      <c r="G27" s="64"/>
      <c r="H27" s="68"/>
      <c r="I27" s="30"/>
    </row>
    <row r="28" spans="1:9" x14ac:dyDescent="0.15">
      <c r="B28" s="3" t="s">
        <v>123</v>
      </c>
      <c r="C28" s="59" t="s">
        <v>128</v>
      </c>
      <c r="D28" s="64"/>
      <c r="E28" s="64"/>
      <c r="F28" s="64"/>
      <c r="G28" s="64"/>
      <c r="H28" s="68"/>
      <c r="I28" s="30"/>
    </row>
    <row r="29" spans="1:9" x14ac:dyDescent="0.15">
      <c r="B29" s="3" t="s">
        <v>124</v>
      </c>
      <c r="C29" s="60" t="s">
        <v>129</v>
      </c>
      <c r="D29" s="64"/>
      <c r="E29" s="64"/>
      <c r="F29" s="64"/>
      <c r="G29" s="64"/>
      <c r="H29" s="68"/>
      <c r="I29" s="30"/>
    </row>
    <row r="30" spans="1:9" x14ac:dyDescent="0.15">
      <c r="B30" s="3" t="s">
        <v>125</v>
      </c>
      <c r="C30" s="60" t="s">
        <v>130</v>
      </c>
      <c r="D30" s="64"/>
      <c r="E30" s="64"/>
      <c r="F30" s="64"/>
      <c r="G30" s="64"/>
      <c r="H30" s="68"/>
      <c r="I30" s="30"/>
    </row>
    <row r="31" spans="1:9" x14ac:dyDescent="0.15">
      <c r="B31" s="3" t="s">
        <v>126</v>
      </c>
      <c r="C31" s="60" t="s">
        <v>131</v>
      </c>
      <c r="D31" s="64"/>
      <c r="E31" s="64"/>
      <c r="F31" s="64"/>
      <c r="G31" s="64"/>
      <c r="H31" s="68"/>
      <c r="I31" s="30"/>
    </row>
    <row r="33" spans="1:11" x14ac:dyDescent="0.15">
      <c r="B33" s="8" t="s">
        <v>145</v>
      </c>
      <c r="C33" s="8" t="s">
        <v>132</v>
      </c>
    </row>
    <row r="34" spans="1:11" x14ac:dyDescent="0.15">
      <c r="B34" s="3" t="s">
        <v>122</v>
      </c>
      <c r="C34" s="3" t="s">
        <v>123</v>
      </c>
      <c r="D34" s="3" t="s">
        <v>124</v>
      </c>
      <c r="E34" s="3" t="s">
        <v>125</v>
      </c>
      <c r="F34" s="3" t="s">
        <v>126</v>
      </c>
    </row>
    <row r="35" spans="1:11" ht="12.75" x14ac:dyDescent="0.15">
      <c r="B35" s="3" t="s">
        <v>133</v>
      </c>
      <c r="C35" s="26">
        <v>20</v>
      </c>
      <c r="D35" s="26">
        <v>15</v>
      </c>
      <c r="E35" s="26">
        <v>10</v>
      </c>
      <c r="F35" s="26">
        <v>5</v>
      </c>
      <c r="G35" s="30"/>
      <c r="H35" s="31"/>
      <c r="I35" s="31"/>
      <c r="J35" s="31"/>
      <c r="K35" s="31"/>
    </row>
    <row r="36" spans="1:11" ht="12.75" x14ac:dyDescent="0.15">
      <c r="B36" s="3" t="s">
        <v>134</v>
      </c>
      <c r="C36" s="26">
        <v>500</v>
      </c>
      <c r="D36" s="26">
        <v>400</v>
      </c>
      <c r="E36" s="26">
        <v>300</v>
      </c>
      <c r="F36" s="26">
        <v>250</v>
      </c>
      <c r="G36" s="30"/>
      <c r="H36" s="31"/>
      <c r="I36" s="31"/>
      <c r="J36" s="31"/>
      <c r="K36" s="31"/>
    </row>
    <row r="37" spans="1:11" ht="12" thickBot="1" x14ac:dyDescent="0.2">
      <c r="B37" s="70" t="s">
        <v>139</v>
      </c>
      <c r="C37" s="71">
        <v>0.33</v>
      </c>
      <c r="D37" s="71">
        <v>0.22</v>
      </c>
      <c r="E37" s="71">
        <v>0.15</v>
      </c>
      <c r="F37" s="71">
        <v>0.1</v>
      </c>
      <c r="G37" s="30"/>
      <c r="H37" s="31"/>
      <c r="I37" s="31"/>
      <c r="J37" s="31"/>
      <c r="K37" s="31"/>
    </row>
    <row r="38" spans="1:11" ht="13.5" thickTop="1" x14ac:dyDescent="0.15">
      <c r="B38" s="12" t="s">
        <v>135</v>
      </c>
      <c r="C38" s="69">
        <v>0.57999999999999996</v>
      </c>
      <c r="D38" s="69">
        <v>0.81</v>
      </c>
      <c r="E38" s="69">
        <v>1</v>
      </c>
      <c r="F38" s="69">
        <v>1.1299999999999999</v>
      </c>
      <c r="G38" s="30"/>
      <c r="H38" s="31"/>
      <c r="I38" s="31"/>
      <c r="J38" s="31"/>
      <c r="K38" s="31"/>
    </row>
    <row r="39" spans="1:11" ht="13.5" x14ac:dyDescent="0.15">
      <c r="B39" s="3" t="s">
        <v>136</v>
      </c>
      <c r="C39" s="24" t="s">
        <v>140</v>
      </c>
      <c r="D39" s="24" t="s">
        <v>143</v>
      </c>
      <c r="E39" s="24" t="s">
        <v>142</v>
      </c>
      <c r="F39" s="24" t="s">
        <v>141</v>
      </c>
      <c r="G39" s="30"/>
      <c r="H39" s="31"/>
      <c r="I39" s="31"/>
      <c r="J39" s="31"/>
      <c r="K39" s="31"/>
    </row>
    <row r="40" spans="1:11" x14ac:dyDescent="0.15">
      <c r="B40" s="30"/>
      <c r="C40" s="31"/>
      <c r="D40" s="31"/>
      <c r="E40" s="31"/>
      <c r="F40" s="31"/>
      <c r="G40" s="30"/>
      <c r="H40" s="31"/>
      <c r="I40" s="31"/>
      <c r="J40" s="31"/>
      <c r="K40" s="31"/>
    </row>
    <row r="41" spans="1:11" x14ac:dyDescent="0.15">
      <c r="A41" s="2" t="s">
        <v>144</v>
      </c>
    </row>
    <row r="42" spans="1:11" x14ac:dyDescent="0.15">
      <c r="B42" s="9" t="s">
        <v>146</v>
      </c>
      <c r="C42" s="9" t="s">
        <v>121</v>
      </c>
    </row>
    <row r="43" spans="1:11" x14ac:dyDescent="0.15">
      <c r="B43" s="3" t="s">
        <v>152</v>
      </c>
      <c r="C43" s="6" t="s">
        <v>148</v>
      </c>
      <c r="D43" s="6"/>
      <c r="E43" s="6"/>
      <c r="F43" s="6"/>
      <c r="G43" s="39"/>
      <c r="H43" s="39"/>
      <c r="I43" s="30"/>
    </row>
    <row r="44" spans="1:11" x14ac:dyDescent="0.15">
      <c r="B44" s="3" t="s">
        <v>151</v>
      </c>
      <c r="C44" s="6" t="s">
        <v>149</v>
      </c>
      <c r="D44" s="6"/>
      <c r="E44" s="6" t="s">
        <v>150</v>
      </c>
      <c r="F44" s="6"/>
      <c r="G44" s="39"/>
      <c r="H44" s="39"/>
      <c r="I44" s="30"/>
    </row>
    <row r="45" spans="1:11" x14ac:dyDescent="0.15">
      <c r="B45" s="3">
        <v>0.05</v>
      </c>
      <c r="C45" s="6">
        <v>1.05</v>
      </c>
      <c r="D45" s="6"/>
      <c r="E45" s="6">
        <v>1.1100000000000001</v>
      </c>
      <c r="F45" s="6"/>
      <c r="G45" s="39"/>
      <c r="H45" s="39"/>
      <c r="I45" s="30"/>
    </row>
    <row r="46" spans="1:11" x14ac:dyDescent="0.15">
      <c r="B46" s="3">
        <v>0.1</v>
      </c>
      <c r="C46" s="7">
        <v>1.0900000000000001</v>
      </c>
      <c r="D46" s="6"/>
      <c r="E46" s="6">
        <v>1.21</v>
      </c>
      <c r="F46" s="6"/>
      <c r="G46" s="39"/>
      <c r="H46" s="39"/>
      <c r="I46" s="30"/>
    </row>
    <row r="47" spans="1:11" x14ac:dyDescent="0.15">
      <c r="B47" s="3">
        <v>0.2</v>
      </c>
      <c r="C47" s="7">
        <v>1.18</v>
      </c>
      <c r="D47" s="6"/>
      <c r="E47" s="6">
        <v>1.41</v>
      </c>
      <c r="F47" s="6"/>
      <c r="G47" s="39"/>
      <c r="H47" s="39"/>
      <c r="I47" s="30"/>
    </row>
    <row r="48" spans="1:11" x14ac:dyDescent="0.15">
      <c r="B48" s="3" t="s">
        <v>147</v>
      </c>
      <c r="C48" s="7">
        <v>1.27</v>
      </c>
      <c r="D48" s="6"/>
      <c r="E48" s="6">
        <v>1.61</v>
      </c>
      <c r="F48" s="6"/>
      <c r="G48" s="39"/>
      <c r="H48" s="39"/>
      <c r="I48" s="30"/>
    </row>
    <row r="49" spans="1:11" x14ac:dyDescent="0.15">
      <c r="B49" s="30"/>
      <c r="C49" s="31"/>
      <c r="D49" s="31"/>
      <c r="E49" s="31"/>
      <c r="F49" s="31"/>
      <c r="G49" s="30"/>
      <c r="H49" s="31"/>
      <c r="I49" s="31"/>
      <c r="J49" s="31"/>
      <c r="K49" s="31"/>
    </row>
    <row r="50" spans="1:11" ht="12.75" x14ac:dyDescent="0.15">
      <c r="B50" s="32" t="s">
        <v>153</v>
      </c>
      <c r="C50" s="40" t="s">
        <v>154</v>
      </c>
      <c r="D50" s="31"/>
      <c r="E50" s="31"/>
      <c r="F50" s="31"/>
      <c r="G50" s="30"/>
      <c r="H50" s="31"/>
      <c r="I50" s="31"/>
      <c r="J50" s="31"/>
      <c r="K50" s="31"/>
    </row>
    <row r="51" spans="1:11" ht="12.75" x14ac:dyDescent="0.15">
      <c r="B51" s="32" t="s">
        <v>155</v>
      </c>
      <c r="C51" s="40" t="s">
        <v>158</v>
      </c>
      <c r="D51" s="31"/>
      <c r="E51" s="31"/>
      <c r="F51" s="31"/>
      <c r="G51" s="30"/>
      <c r="H51" s="31"/>
      <c r="I51" s="31"/>
      <c r="J51" s="31"/>
      <c r="K51" s="31"/>
    </row>
    <row r="52" spans="1:11" ht="12.75" x14ac:dyDescent="0.15">
      <c r="B52" s="32" t="s">
        <v>159</v>
      </c>
      <c r="C52" s="40" t="s">
        <v>156</v>
      </c>
      <c r="D52" s="31"/>
      <c r="E52" s="31"/>
      <c r="F52" s="31"/>
      <c r="G52" s="30"/>
      <c r="H52" s="31"/>
      <c r="I52" s="31"/>
      <c r="J52" s="31"/>
      <c r="K52" s="31"/>
    </row>
    <row r="53" spans="1:11" ht="12.75" x14ac:dyDescent="0.15">
      <c r="B53" s="32" t="s">
        <v>157</v>
      </c>
      <c r="C53" s="40" t="s">
        <v>160</v>
      </c>
      <c r="D53" s="31"/>
      <c r="E53" s="31"/>
      <c r="F53" s="31"/>
      <c r="G53" s="30"/>
      <c r="H53" s="31"/>
      <c r="I53" s="31"/>
      <c r="J53" s="31"/>
      <c r="K53" s="31"/>
    </row>
    <row r="54" spans="1:11" x14ac:dyDescent="0.15">
      <c r="A54" s="2" t="s">
        <v>179</v>
      </c>
    </row>
    <row r="55" spans="1:11" x14ac:dyDescent="0.15">
      <c r="B55" s="9" t="s">
        <v>161</v>
      </c>
      <c r="C55" s="9" t="s">
        <v>162</v>
      </c>
    </row>
    <row r="56" spans="1:11" x14ac:dyDescent="0.15">
      <c r="B56" s="6" t="s">
        <v>163</v>
      </c>
      <c r="C56" s="6"/>
      <c r="D56" s="6"/>
      <c r="E56" s="6"/>
      <c r="F56" s="4" t="s">
        <v>168</v>
      </c>
      <c r="G56" s="4" t="s">
        <v>169</v>
      </c>
      <c r="H56" s="39"/>
      <c r="I56" s="30"/>
    </row>
    <row r="57" spans="1:11" ht="33.75" x14ac:dyDescent="0.15">
      <c r="B57" s="7" t="s">
        <v>164</v>
      </c>
      <c r="C57" s="6"/>
      <c r="D57" s="6"/>
      <c r="E57" s="6"/>
      <c r="F57" s="4" t="s">
        <v>170</v>
      </c>
      <c r="G57" s="74">
        <v>1.1000000000000001</v>
      </c>
      <c r="H57" s="39"/>
      <c r="I57" s="30"/>
    </row>
    <row r="58" spans="1:11" x14ac:dyDescent="0.15">
      <c r="B58" s="65" t="s">
        <v>165</v>
      </c>
      <c r="C58" s="66"/>
      <c r="D58" s="66"/>
      <c r="E58" s="67"/>
      <c r="F58" s="4" t="s">
        <v>171</v>
      </c>
      <c r="G58" s="74">
        <v>1</v>
      </c>
      <c r="H58" s="39"/>
      <c r="I58" s="30"/>
    </row>
    <row r="59" spans="1:11" x14ac:dyDescent="0.15">
      <c r="B59" s="65" t="s">
        <v>166</v>
      </c>
      <c r="C59" s="73"/>
      <c r="D59" s="66"/>
      <c r="E59" s="67"/>
      <c r="F59" s="4" t="s">
        <v>172</v>
      </c>
      <c r="G59" s="74">
        <v>0.95</v>
      </c>
      <c r="H59" s="39"/>
      <c r="I59" s="30"/>
    </row>
    <row r="60" spans="1:11" x14ac:dyDescent="0.15">
      <c r="B60" s="65" t="s">
        <v>167</v>
      </c>
      <c r="C60" s="73"/>
      <c r="D60" s="66"/>
      <c r="E60" s="67"/>
      <c r="F60" s="4" t="s">
        <v>173</v>
      </c>
      <c r="G60" s="74">
        <v>0.81</v>
      </c>
      <c r="H60" s="39"/>
      <c r="I60" s="30"/>
    </row>
    <row r="61" spans="1:11" x14ac:dyDescent="0.15">
      <c r="B61" s="39"/>
      <c r="C61" s="72"/>
      <c r="D61" s="39"/>
      <c r="E61" s="39"/>
      <c r="F61" s="39"/>
      <c r="G61" s="39"/>
      <c r="H61" s="39"/>
      <c r="I61" s="30"/>
    </row>
    <row r="62" spans="1:11" x14ac:dyDescent="0.15">
      <c r="B62" s="30"/>
      <c r="C62" s="31"/>
      <c r="D62" s="31"/>
      <c r="E62" s="31"/>
      <c r="F62" s="31"/>
      <c r="G62" s="30"/>
      <c r="H62" s="31"/>
      <c r="I62" s="31"/>
      <c r="J62" s="31"/>
      <c r="K62" s="31"/>
    </row>
    <row r="63" spans="1:11" x14ac:dyDescent="0.15">
      <c r="B63" s="2" t="s">
        <v>55</v>
      </c>
    </row>
    <row r="64" spans="1:11" ht="12.75" x14ac:dyDescent="0.15">
      <c r="B64" s="13" t="s">
        <v>137</v>
      </c>
      <c r="C64" s="2" t="s">
        <v>182</v>
      </c>
    </row>
    <row r="65" spans="1:7" x14ac:dyDescent="0.15">
      <c r="C65" s="2"/>
    </row>
    <row r="66" spans="1:7" x14ac:dyDescent="0.15">
      <c r="B66" s="9" t="str">
        <f>도로교시방서!A23</f>
        <v>완도대교</v>
      </c>
    </row>
    <row r="67" spans="1:7" x14ac:dyDescent="0.15">
      <c r="A67" s="9"/>
      <c r="B67" s="1" t="s">
        <v>88</v>
      </c>
    </row>
    <row r="68" spans="1:7" x14ac:dyDescent="0.15">
      <c r="A68" s="9"/>
      <c r="B68" s="6" t="s">
        <v>174</v>
      </c>
      <c r="C68" s="6"/>
      <c r="D68" s="3" t="s">
        <v>175</v>
      </c>
    </row>
    <row r="69" spans="1:7" x14ac:dyDescent="0.15">
      <c r="B69" s="6" t="s">
        <v>176</v>
      </c>
      <c r="C69" s="6"/>
      <c r="D69" s="15"/>
    </row>
    <row r="70" spans="1:7" x14ac:dyDescent="0.15">
      <c r="B70" s="6" t="s">
        <v>122</v>
      </c>
      <c r="C70" s="6"/>
      <c r="D70" s="15" t="s">
        <v>244</v>
      </c>
    </row>
    <row r="71" spans="1:7" x14ac:dyDescent="0.15">
      <c r="B71" s="85" t="s">
        <v>44</v>
      </c>
      <c r="C71" s="91"/>
      <c r="D71" s="88">
        <f>도로교시방서!D28</f>
        <v>40</v>
      </c>
    </row>
    <row r="72" spans="1:7" ht="12.75" x14ac:dyDescent="0.15">
      <c r="B72" s="6" t="s">
        <v>178</v>
      </c>
      <c r="C72" s="6"/>
      <c r="D72" s="34">
        <v>1</v>
      </c>
    </row>
    <row r="73" spans="1:7" x14ac:dyDescent="0.15">
      <c r="B73" s="6" t="s">
        <v>180</v>
      </c>
      <c r="C73" s="6"/>
      <c r="D73" s="34">
        <v>1</v>
      </c>
    </row>
    <row r="74" spans="1:7" x14ac:dyDescent="0.15">
      <c r="A74" s="38"/>
      <c r="B74" s="18"/>
      <c r="C74" s="18"/>
      <c r="D74" s="17"/>
      <c r="E74" s="19"/>
    </row>
    <row r="75" spans="1:7" x14ac:dyDescent="0.15">
      <c r="A75" s="37"/>
      <c r="B75" s="58" t="s">
        <v>89</v>
      </c>
      <c r="C75" s="20"/>
      <c r="D75" s="21"/>
      <c r="E75" s="19"/>
    </row>
    <row r="76" spans="1:7" ht="12.75" x14ac:dyDescent="0.15">
      <c r="A76" s="38"/>
      <c r="B76" s="22" t="s">
        <v>181</v>
      </c>
      <c r="C76" s="3" t="s">
        <v>177</v>
      </c>
      <c r="D76" s="3" t="s">
        <v>178</v>
      </c>
      <c r="E76" s="3" t="s">
        <v>180</v>
      </c>
      <c r="F76" s="25" t="s">
        <v>36</v>
      </c>
      <c r="G76" s="25"/>
    </row>
    <row r="77" spans="1:7" x14ac:dyDescent="0.15">
      <c r="B77" s="3">
        <f>도로교시방서!B32</f>
        <v>27.900000000000002</v>
      </c>
      <c r="C77" s="24">
        <f>IF(D71&gt;LOOKUP(D70,C34:F34,C35:F35),LEFT(LOOKUP(D70,C34:F34,C39:F39),4)*D71^(LOOKUP(D70,C34:F34,C37:F37)),LOOKUP(D70,C34:F34,C38:F38))</f>
        <v>1.4027417831041669</v>
      </c>
      <c r="D77" s="24">
        <f>D72</f>
        <v>1</v>
      </c>
      <c r="E77" s="24">
        <f>D73</f>
        <v>1</v>
      </c>
      <c r="F77" s="27">
        <f>B77*C77*D77*E77</f>
        <v>39.136495748606258</v>
      </c>
      <c r="G77" s="14"/>
    </row>
    <row r="79" spans="1:7" x14ac:dyDescent="0.15">
      <c r="A79" s="38"/>
      <c r="B79" s="19"/>
      <c r="C79" s="19"/>
      <c r="D79" s="19"/>
      <c r="E79" s="19"/>
      <c r="F79" s="19"/>
      <c r="G79" s="19"/>
    </row>
    <row r="80" spans="1:7" x14ac:dyDescent="0.15">
      <c r="A80" s="38"/>
      <c r="B80" s="21"/>
      <c r="C80" s="21"/>
      <c r="D80" s="19"/>
      <c r="E80" s="19"/>
      <c r="F80" s="19"/>
      <c r="G80" s="19"/>
    </row>
    <row r="81" spans="1:7" x14ac:dyDescent="0.15">
      <c r="A81" s="38"/>
      <c r="B81" s="19"/>
      <c r="C81" s="19"/>
      <c r="D81" s="19"/>
      <c r="E81" s="19"/>
      <c r="F81" s="19"/>
      <c r="G81" s="19"/>
    </row>
    <row r="82" spans="1:7" x14ac:dyDescent="0.15">
      <c r="A82" s="38"/>
      <c r="B82" s="19"/>
      <c r="C82" s="33"/>
      <c r="D82" s="33"/>
      <c r="E82" s="33"/>
      <c r="F82" s="33"/>
      <c r="G82" s="19"/>
    </row>
    <row r="83" spans="1:7" x14ac:dyDescent="0.15">
      <c r="A83" s="38"/>
      <c r="B83" s="19"/>
      <c r="C83" s="33"/>
      <c r="D83" s="33"/>
      <c r="E83" s="33"/>
      <c r="F83" s="33"/>
      <c r="G83" s="19"/>
    </row>
    <row r="84" spans="1:7" x14ac:dyDescent="0.15">
      <c r="A84" s="38"/>
      <c r="B84" s="19"/>
      <c r="C84" s="33"/>
      <c r="D84" s="33"/>
      <c r="E84" s="33"/>
      <c r="F84" s="33"/>
      <c r="G84" s="19"/>
    </row>
    <row r="85" spans="1:7" x14ac:dyDescent="0.15">
      <c r="A85" s="38"/>
      <c r="B85" s="19"/>
      <c r="C85" s="33"/>
      <c r="D85" s="33"/>
      <c r="E85" s="33"/>
      <c r="F85" s="33"/>
      <c r="G85" s="19"/>
    </row>
    <row r="86" spans="1:7" x14ac:dyDescent="0.15">
      <c r="A86" s="38"/>
      <c r="B86" s="19"/>
      <c r="C86" s="33"/>
      <c r="D86" s="33"/>
      <c r="E86" s="33"/>
      <c r="F86" s="33"/>
      <c r="G86" s="19"/>
    </row>
    <row r="87" spans="1:7" x14ac:dyDescent="0.15">
      <c r="A87" s="38"/>
      <c r="B87" s="19"/>
      <c r="C87" s="33"/>
      <c r="D87" s="33"/>
      <c r="E87" s="33"/>
      <c r="F87" s="33"/>
      <c r="G87" s="19"/>
    </row>
    <row r="88" spans="1:7" x14ac:dyDescent="0.15">
      <c r="A88" s="38"/>
      <c r="B88" s="19"/>
      <c r="C88" s="33"/>
      <c r="D88" s="33"/>
      <c r="E88" s="33"/>
      <c r="F88" s="33"/>
      <c r="G88" s="19"/>
    </row>
    <row r="89" spans="1:7" x14ac:dyDescent="0.15">
      <c r="A89" s="38"/>
      <c r="B89" s="19"/>
      <c r="C89" s="33"/>
      <c r="D89" s="33"/>
      <c r="E89" s="33"/>
      <c r="F89" s="33"/>
      <c r="G89" s="19"/>
    </row>
    <row r="90" spans="1:7" x14ac:dyDescent="0.15">
      <c r="A90" s="38"/>
      <c r="B90" s="75"/>
      <c r="C90" s="33"/>
      <c r="D90" s="33"/>
      <c r="E90" s="33"/>
      <c r="F90" s="33"/>
      <c r="G90" s="19"/>
    </row>
    <row r="91" spans="1:7" x14ac:dyDescent="0.15">
      <c r="A91" s="38"/>
      <c r="B91" s="19"/>
      <c r="C91" s="33"/>
      <c r="D91" s="33"/>
      <c r="E91" s="33"/>
      <c r="F91" s="33"/>
      <c r="G91" s="19"/>
    </row>
    <row r="92" spans="1:7" x14ac:dyDescent="0.15">
      <c r="A92" s="38"/>
      <c r="B92" s="19"/>
      <c r="C92" s="33"/>
      <c r="D92" s="33"/>
      <c r="E92" s="33"/>
      <c r="F92" s="33"/>
      <c r="G92" s="19"/>
    </row>
    <row r="93" spans="1:7" x14ac:dyDescent="0.15">
      <c r="A93" s="38"/>
      <c r="B93" s="19"/>
      <c r="C93" s="33"/>
      <c r="D93" s="33"/>
      <c r="E93" s="33"/>
      <c r="F93" s="33"/>
      <c r="G93" s="19"/>
    </row>
    <row r="94" spans="1:7" x14ac:dyDescent="0.15">
      <c r="B94" s="30"/>
      <c r="C94" s="31"/>
      <c r="D94" s="31"/>
      <c r="E94" s="31"/>
      <c r="F94" s="31"/>
    </row>
    <row r="95" spans="1:7" x14ac:dyDescent="0.15">
      <c r="B95" s="30"/>
      <c r="C95" s="31"/>
      <c r="D95" s="31"/>
      <c r="E95" s="31"/>
      <c r="F95" s="31"/>
    </row>
    <row r="96" spans="1:7" x14ac:dyDescent="0.15">
      <c r="B96" s="30"/>
      <c r="C96" s="31"/>
      <c r="D96" s="31"/>
      <c r="E96" s="31"/>
      <c r="F96" s="31"/>
    </row>
  </sheetData>
  <mergeCells count="5">
    <mergeCell ref="B19:B22"/>
    <mergeCell ref="B5:B6"/>
    <mergeCell ref="B7:B9"/>
    <mergeCell ref="B10:B13"/>
    <mergeCell ref="B14:B18"/>
  </mergeCells>
  <phoneticPr fontId="1" type="noConversion"/>
  <pageMargins left="0.65" right="0.63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9"/>
  <sheetViews>
    <sheetView workbookViewId="0">
      <selection activeCell="L35" sqref="L35"/>
    </sheetView>
  </sheetViews>
  <sheetFormatPr defaultRowHeight="13.5" x14ac:dyDescent="0.15"/>
  <cols>
    <col min="4" max="4" width="13.44140625" bestFit="1" customWidth="1"/>
    <col min="6" max="6" width="8.6640625" bestFit="1" customWidth="1"/>
    <col min="7" max="7" width="8.77734375" customWidth="1"/>
    <col min="8" max="8" width="8.6640625" bestFit="1" customWidth="1"/>
    <col min="10" max="10" width="4.44140625" customWidth="1"/>
    <col min="11" max="11" width="12.5546875" bestFit="1" customWidth="1"/>
    <col min="19" max="19" width="12.44140625" bestFit="1" customWidth="1"/>
  </cols>
  <sheetData>
    <row r="1" spans="1:18" x14ac:dyDescent="0.15">
      <c r="A1" s="2" t="s">
        <v>183</v>
      </c>
      <c r="B1" s="106"/>
      <c r="C1" s="13" t="s">
        <v>197</v>
      </c>
      <c r="D1" s="2">
        <v>1</v>
      </c>
      <c r="E1" s="106"/>
      <c r="F1" s="106"/>
      <c r="G1" s="106"/>
      <c r="H1" s="106"/>
      <c r="I1" s="106"/>
      <c r="J1" s="106"/>
      <c r="K1" s="106"/>
      <c r="L1" s="106"/>
      <c r="M1" s="106"/>
      <c r="N1" s="106"/>
    </row>
    <row r="2" spans="1:18" x14ac:dyDescent="0.15">
      <c r="A2" s="2"/>
      <c r="B2" s="106"/>
      <c r="C2" s="106" t="s">
        <v>254</v>
      </c>
      <c r="D2" s="106">
        <v>0.1</v>
      </c>
      <c r="E2" s="106"/>
      <c r="F2" s="106"/>
      <c r="G2" s="106"/>
      <c r="H2" s="106"/>
      <c r="I2" s="106"/>
      <c r="J2" s="106"/>
      <c r="K2" s="106"/>
      <c r="L2" s="106"/>
      <c r="M2" s="106"/>
      <c r="N2" s="106"/>
    </row>
    <row r="3" spans="1:18" x14ac:dyDescent="0.15">
      <c r="A3" s="2"/>
      <c r="B3" s="63" t="s">
        <v>2</v>
      </c>
      <c r="C3" s="107" t="s">
        <v>257</v>
      </c>
      <c r="D3" s="107" t="s">
        <v>185</v>
      </c>
      <c r="E3" s="107" t="s">
        <v>184</v>
      </c>
      <c r="F3" s="107" t="s">
        <v>185</v>
      </c>
      <c r="G3" s="106"/>
      <c r="H3" s="106"/>
      <c r="I3" s="106"/>
      <c r="J3" s="106"/>
      <c r="K3" s="106" t="s">
        <v>240</v>
      </c>
      <c r="L3" s="106" t="s">
        <v>241</v>
      </c>
      <c r="M3" s="106"/>
      <c r="N3" s="111" t="s">
        <v>266</v>
      </c>
      <c r="O3" s="111"/>
      <c r="P3" s="111"/>
      <c r="Q3" s="111"/>
      <c r="R3" s="111"/>
    </row>
    <row r="4" spans="1:18" x14ac:dyDescent="0.15">
      <c r="A4" s="2"/>
      <c r="B4" s="63" t="s">
        <v>231</v>
      </c>
      <c r="C4" s="107">
        <v>0.4</v>
      </c>
      <c r="D4" s="107" t="s">
        <v>192</v>
      </c>
      <c r="E4" s="107">
        <f>C4*$D$1^-1*100</f>
        <v>40</v>
      </c>
      <c r="F4" s="107" t="s">
        <v>198</v>
      </c>
      <c r="G4" s="106"/>
      <c r="H4" s="106"/>
      <c r="I4" s="106" t="s">
        <v>232</v>
      </c>
      <c r="J4" s="106"/>
      <c r="K4" s="106">
        <v>2.7570000000000001</v>
      </c>
      <c r="L4" s="106"/>
      <c r="M4" s="111" t="s">
        <v>264</v>
      </c>
      <c r="N4" s="106">
        <v>1.417</v>
      </c>
      <c r="O4" s="111"/>
      <c r="P4" s="111"/>
      <c r="Q4" s="111"/>
      <c r="R4" s="111"/>
    </row>
    <row r="5" spans="1:18" x14ac:dyDescent="0.15">
      <c r="A5" s="106">
        <v>3.82</v>
      </c>
      <c r="B5" s="63" t="s">
        <v>186</v>
      </c>
      <c r="C5" s="24">
        <v>4.3729412E-3</v>
      </c>
      <c r="D5" s="107" t="s">
        <v>193</v>
      </c>
      <c r="E5" s="103">
        <f>C5*$D$1^-2*1000</f>
        <v>4.3729411999999996</v>
      </c>
      <c r="F5" s="107" t="s">
        <v>199</v>
      </c>
      <c r="G5" s="106" t="s">
        <v>258</v>
      </c>
      <c r="H5" s="106"/>
      <c r="I5" s="106" t="s">
        <v>233</v>
      </c>
      <c r="J5" s="106"/>
      <c r="K5" s="106"/>
      <c r="L5" s="106"/>
      <c r="M5" s="111" t="s">
        <v>265</v>
      </c>
      <c r="N5" s="106">
        <v>1.7509999999999999</v>
      </c>
      <c r="O5" s="111"/>
      <c r="P5" s="111"/>
      <c r="Q5" s="111"/>
      <c r="R5" s="111"/>
    </row>
    <row r="6" spans="1:18" x14ac:dyDescent="0.15">
      <c r="A6" s="106">
        <v>6.8159999999999998</v>
      </c>
      <c r="B6" s="63" t="s">
        <v>187</v>
      </c>
      <c r="C6" s="24">
        <v>6.5122042465006274E-5</v>
      </c>
      <c r="D6" s="107" t="s">
        <v>194</v>
      </c>
      <c r="E6" s="24">
        <f>C6*$D$1^-4*10000000</f>
        <v>651.2204246500628</v>
      </c>
      <c r="F6" s="107" t="s">
        <v>200</v>
      </c>
      <c r="G6" s="106">
        <f>SQRT(E6/E5)</f>
        <v>12.203297185340665</v>
      </c>
      <c r="H6" s="106"/>
      <c r="I6" s="106" t="s">
        <v>234</v>
      </c>
      <c r="J6" s="106"/>
      <c r="K6" s="106">
        <v>0.67800000000000005</v>
      </c>
      <c r="L6" s="106"/>
      <c r="M6" s="106"/>
      <c r="N6" s="106"/>
      <c r="O6" s="111"/>
      <c r="P6" s="111">
        <v>0.107</v>
      </c>
      <c r="Q6" s="111"/>
      <c r="R6" s="111"/>
    </row>
    <row r="7" spans="1:18" x14ac:dyDescent="0.15">
      <c r="A7" s="2"/>
      <c r="B7" s="63" t="s">
        <v>188</v>
      </c>
      <c r="C7" s="93">
        <v>1.4302999999999999</v>
      </c>
      <c r="D7" s="107" t="s">
        <v>195</v>
      </c>
      <c r="E7" s="98">
        <f>C7*SQRT($D$1)</f>
        <v>1.4302999999999999</v>
      </c>
      <c r="F7" s="107" t="s">
        <v>195</v>
      </c>
      <c r="G7" s="106"/>
      <c r="H7" s="106"/>
      <c r="I7" s="106" t="s">
        <v>235</v>
      </c>
      <c r="J7" s="106"/>
      <c r="K7" s="106">
        <f>SUM(K4:K6)</f>
        <v>3.4350000000000001</v>
      </c>
      <c r="L7" s="106"/>
      <c r="M7" s="106"/>
      <c r="N7" s="106"/>
      <c r="O7" s="111"/>
      <c r="P7" s="111">
        <v>7.3999999999999996E-2</v>
      </c>
      <c r="Q7" s="111"/>
      <c r="R7" s="111"/>
    </row>
    <row r="8" spans="1:18" x14ac:dyDescent="0.15">
      <c r="A8" s="2"/>
      <c r="B8" s="63" t="s">
        <v>189</v>
      </c>
      <c r="C8" s="93">
        <v>3.1036000000000001</v>
      </c>
      <c r="D8" s="107" t="s">
        <v>195</v>
      </c>
      <c r="E8" s="98">
        <f>C8*SQRT($D$1)</f>
        <v>3.1036000000000001</v>
      </c>
      <c r="F8" s="107" t="s">
        <v>195</v>
      </c>
      <c r="G8" s="106"/>
      <c r="H8" s="106"/>
      <c r="I8" s="106" t="s">
        <v>236</v>
      </c>
      <c r="J8" s="106"/>
      <c r="K8" s="106">
        <v>0.33400000000000002</v>
      </c>
      <c r="L8" s="95">
        <f>L9-K9</f>
        <v>-5.1999980000000612E-2</v>
      </c>
      <c r="M8" s="106"/>
      <c r="N8" s="106"/>
      <c r="O8" s="111"/>
      <c r="P8" s="111">
        <v>0.315</v>
      </c>
      <c r="Q8" s="111"/>
      <c r="R8" s="111"/>
    </row>
    <row r="9" spans="1:18" x14ac:dyDescent="0.15">
      <c r="A9" s="2"/>
      <c r="B9" s="63" t="s">
        <v>190</v>
      </c>
      <c r="C9" s="99">
        <f>(0.3/100)*2*PI()</f>
        <v>1.8849555921538759E-2</v>
      </c>
      <c r="D9" s="107"/>
      <c r="E9" s="76">
        <f>C9</f>
        <v>1.8849555921538759E-2</v>
      </c>
      <c r="F9" s="107"/>
      <c r="G9" s="106"/>
      <c r="H9" s="106"/>
      <c r="I9" s="106" t="s">
        <v>237</v>
      </c>
      <c r="J9" s="106"/>
      <c r="K9" s="106">
        <f>K7+K8</f>
        <v>3.7690000000000001</v>
      </c>
      <c r="L9" s="106">
        <f>L10*0.85</f>
        <v>3.7170000199999995</v>
      </c>
      <c r="N9" s="106"/>
      <c r="O9" s="111"/>
      <c r="P9" s="111"/>
      <c r="Q9" s="111"/>
      <c r="R9" s="111"/>
    </row>
    <row r="10" spans="1:18" x14ac:dyDescent="0.15">
      <c r="A10" s="2"/>
      <c r="B10" s="63" t="s">
        <v>191</v>
      </c>
      <c r="C10" s="98">
        <f>도로교시방서!F32</f>
        <v>23.418221152931462</v>
      </c>
      <c r="D10" s="107" t="s">
        <v>196</v>
      </c>
      <c r="E10" s="24">
        <f>C10*$D$1^(-1/2)</f>
        <v>23.418221152931462</v>
      </c>
      <c r="F10" s="107" t="s">
        <v>196</v>
      </c>
      <c r="G10" s="106"/>
      <c r="H10" s="106"/>
      <c r="I10" s="106" t="s">
        <v>238</v>
      </c>
      <c r="J10" s="106"/>
      <c r="K10" s="127">
        <f>K9/0.85</f>
        <v>4.4341176470588239</v>
      </c>
      <c r="L10" s="97">
        <f>E5</f>
        <v>4.3729411999999996</v>
      </c>
      <c r="M10" s="106">
        <f>((L10-K10)/L10)*100</f>
        <v>-1.3989771245683411</v>
      </c>
      <c r="N10" s="106">
        <v>1.4028</v>
      </c>
      <c r="O10" s="117">
        <v>1.4069</v>
      </c>
      <c r="P10" s="117">
        <v>1.4</v>
      </c>
      <c r="Q10" s="111"/>
      <c r="R10" s="111"/>
    </row>
    <row r="11" spans="1:18" x14ac:dyDescent="0.15">
      <c r="A11" s="2"/>
      <c r="B11" s="106"/>
      <c r="C11" s="106">
        <f>C10*1.3</f>
        <v>30.443687498810903</v>
      </c>
      <c r="D11" s="106"/>
      <c r="E11" s="24">
        <f>C11*$D$1^(-1/2)</f>
        <v>30.443687498810903</v>
      </c>
      <c r="F11" s="106"/>
      <c r="G11" s="106"/>
      <c r="H11" s="106"/>
      <c r="I11" s="112" t="s">
        <v>267</v>
      </c>
      <c r="J11" s="106"/>
      <c r="K11" s="115">
        <f>(2*E5*C9)/(1.225*(E4/100)^2)</f>
        <v>0.84110203766327318</v>
      </c>
      <c r="L11" s="106"/>
      <c r="M11" s="106"/>
      <c r="N11" s="106">
        <v>1.7888999999999999</v>
      </c>
      <c r="O11" s="117">
        <v>1.7769999999999999</v>
      </c>
      <c r="P11" s="117">
        <v>1.7687999999999999</v>
      </c>
    </row>
    <row r="12" spans="1:18" x14ac:dyDescent="0.15">
      <c r="A12" s="2" t="s">
        <v>215</v>
      </c>
      <c r="B12" s="106"/>
      <c r="C12" s="106"/>
      <c r="D12" s="106"/>
      <c r="E12" s="106"/>
      <c r="F12" s="106"/>
      <c r="G12" s="106">
        <f>E4/2</f>
        <v>20</v>
      </c>
      <c r="H12" s="106"/>
      <c r="I12" s="112" t="s">
        <v>268</v>
      </c>
      <c r="J12" s="106"/>
      <c r="K12" s="115">
        <f>(2*E6*C9)/(1.225*(E4/100)^2)</f>
        <v>125.25730420091401</v>
      </c>
      <c r="L12" s="133" t="s">
        <v>259</v>
      </c>
      <c r="M12" s="133"/>
      <c r="N12" s="133"/>
      <c r="O12" s="133"/>
      <c r="P12" s="133"/>
    </row>
    <row r="13" spans="1:18" x14ac:dyDescent="0.15">
      <c r="A13" s="2"/>
      <c r="B13" s="6" t="s">
        <v>2</v>
      </c>
      <c r="C13" s="6"/>
      <c r="D13" s="107" t="s">
        <v>204</v>
      </c>
      <c r="E13" s="107" t="s">
        <v>209</v>
      </c>
      <c r="F13" s="107" t="s">
        <v>212</v>
      </c>
      <c r="G13" s="106"/>
      <c r="H13" s="106"/>
      <c r="I13" s="106"/>
      <c r="J13" s="106"/>
      <c r="K13" s="106"/>
      <c r="L13" s="107" t="s">
        <v>260</v>
      </c>
      <c r="M13" s="107" t="s">
        <v>261</v>
      </c>
      <c r="N13" s="116" t="s">
        <v>273</v>
      </c>
      <c r="O13" s="116" t="s">
        <v>274</v>
      </c>
      <c r="P13" s="118" t="s">
        <v>275</v>
      </c>
    </row>
    <row r="14" spans="1:18" x14ac:dyDescent="0.15">
      <c r="A14" s="2"/>
      <c r="B14" s="77" t="s">
        <v>242</v>
      </c>
      <c r="C14" s="6"/>
      <c r="D14" s="107" t="s">
        <v>205</v>
      </c>
      <c r="E14" s="76">
        <f>E15/(1-(E17/E16)^2)/E18</f>
        <v>4.7148934243411196</v>
      </c>
      <c r="F14" s="107" t="s">
        <v>199</v>
      </c>
      <c r="G14" s="106">
        <f>E14-E15/E18</f>
        <v>4.3219522478705317</v>
      </c>
      <c r="H14" s="106"/>
      <c r="I14" s="106"/>
      <c r="J14" s="106"/>
      <c r="K14" s="106"/>
      <c r="L14" s="107"/>
      <c r="M14" s="107"/>
      <c r="N14" s="107" t="s">
        <v>190</v>
      </c>
      <c r="O14" s="107" t="s">
        <v>190</v>
      </c>
      <c r="P14" s="107" t="s">
        <v>190</v>
      </c>
    </row>
    <row r="15" spans="1:18" x14ac:dyDescent="0.15">
      <c r="A15" s="2"/>
      <c r="B15" s="77" t="s">
        <v>201</v>
      </c>
      <c r="C15" s="6"/>
      <c r="D15" s="107" t="s">
        <v>206</v>
      </c>
      <c r="E15" s="107">
        <f>K8</f>
        <v>0.33400000000000002</v>
      </c>
      <c r="F15" s="107" t="s">
        <v>213</v>
      </c>
      <c r="G15" s="106"/>
      <c r="H15" s="106"/>
      <c r="I15" s="106"/>
      <c r="J15" s="106"/>
      <c r="K15" s="106"/>
      <c r="L15" s="107" t="s">
        <v>262</v>
      </c>
      <c r="M15" s="104">
        <f>E4/200*10</f>
        <v>2</v>
      </c>
      <c r="N15" s="121">
        <v>1.2999999999999999E-2</v>
      </c>
      <c r="O15" s="99"/>
      <c r="P15" s="119"/>
      <c r="Q15" s="106"/>
    </row>
    <row r="16" spans="1:18" x14ac:dyDescent="0.15">
      <c r="A16" s="2"/>
      <c r="B16" s="77" t="s">
        <v>202</v>
      </c>
      <c r="C16" s="6"/>
      <c r="D16" s="107" t="s">
        <v>207</v>
      </c>
      <c r="E16" s="94">
        <v>1.2729999999999999</v>
      </c>
      <c r="F16" s="107" t="s">
        <v>195</v>
      </c>
      <c r="G16" s="106"/>
      <c r="H16" s="106"/>
      <c r="I16" s="106"/>
      <c r="J16" s="106"/>
      <c r="K16" s="106"/>
      <c r="L16" s="107" t="s">
        <v>252</v>
      </c>
      <c r="M16" s="104">
        <f>SIN(RADIANS(0.5))*(E4/2)*10</f>
        <v>1.7453070996747868</v>
      </c>
      <c r="N16" s="121">
        <v>1.6400000000000001E-2</v>
      </c>
      <c r="O16" s="99"/>
      <c r="P16" s="119"/>
      <c r="Q16" s="106"/>
    </row>
    <row r="17" spans="1:20" x14ac:dyDescent="0.15">
      <c r="A17" s="2"/>
      <c r="B17" s="77" t="s">
        <v>203</v>
      </c>
      <c r="C17" s="6"/>
      <c r="D17" s="107" t="s">
        <v>208</v>
      </c>
      <c r="E17" s="94">
        <v>1.2188000000000001</v>
      </c>
      <c r="F17" s="107" t="s">
        <v>195</v>
      </c>
      <c r="G17" s="106"/>
      <c r="H17" s="106"/>
      <c r="I17" s="106"/>
      <c r="J17" s="106"/>
      <c r="K17" s="106"/>
      <c r="L17" s="106"/>
      <c r="M17" s="104">
        <f>SIN(RADIANS(0.5))*(13)*14</f>
        <v>1.5882294607040561</v>
      </c>
      <c r="N17" s="99">
        <f t="shared" ref="N17:P18" si="0">N15/(2*PI())*100</f>
        <v>0.20690142601946393</v>
      </c>
      <c r="O17" s="99">
        <f t="shared" si="0"/>
        <v>0</v>
      </c>
      <c r="P17" s="99">
        <f t="shared" si="0"/>
        <v>0</v>
      </c>
    </row>
    <row r="18" spans="1:20" ht="14.25" thickBot="1" x14ac:dyDescent="0.2">
      <c r="A18" s="2"/>
      <c r="B18" s="79" t="s">
        <v>210</v>
      </c>
      <c r="C18" s="79"/>
      <c r="D18" s="70" t="s">
        <v>211</v>
      </c>
      <c r="E18" s="70">
        <v>0.85</v>
      </c>
      <c r="F18" s="70" t="s">
        <v>214</v>
      </c>
      <c r="G18" s="106"/>
      <c r="H18" s="106"/>
      <c r="I18" s="106"/>
      <c r="J18" s="106"/>
      <c r="K18" s="106"/>
      <c r="L18" s="106"/>
      <c r="M18" s="106"/>
      <c r="N18" s="99">
        <f t="shared" si="0"/>
        <v>0.26101410667070835</v>
      </c>
      <c r="O18" s="99">
        <f t="shared" si="0"/>
        <v>0</v>
      </c>
      <c r="P18" s="99">
        <f t="shared" si="0"/>
        <v>0</v>
      </c>
    </row>
    <row r="19" spans="1:20" ht="14.25" thickTop="1" x14ac:dyDescent="0.15">
      <c r="A19" s="2"/>
      <c r="B19" s="78" t="s">
        <v>216</v>
      </c>
      <c r="C19" s="78"/>
      <c r="D19" s="105" t="s">
        <v>220</v>
      </c>
      <c r="E19" s="47">
        <f>E15*E23^2/((E21/E22)^2-1)/E18</f>
        <v>566.10038409471622</v>
      </c>
      <c r="F19" s="105" t="s">
        <v>224</v>
      </c>
      <c r="G19" s="106"/>
      <c r="H19" s="106"/>
      <c r="I19" s="106"/>
      <c r="J19" s="106"/>
      <c r="K19" s="106"/>
      <c r="L19" s="96" t="s">
        <v>269</v>
      </c>
      <c r="M19" s="96"/>
      <c r="N19" s="115">
        <f>(2*$K$10*N15)/(1.225*($E$4/100)^2)</f>
        <v>0.58819927971188457</v>
      </c>
      <c r="O19" s="96">
        <f t="shared" ref="O19:P19" si="1">(2*$K$10*O15)/(1.225*($E$4/100)^2)</f>
        <v>0</v>
      </c>
      <c r="P19" s="96">
        <f t="shared" si="1"/>
        <v>0</v>
      </c>
      <c r="Q19" s="96"/>
    </row>
    <row r="20" spans="1:20" x14ac:dyDescent="0.15">
      <c r="A20" s="2"/>
      <c r="B20" s="134" t="s">
        <v>239</v>
      </c>
      <c r="C20" s="135"/>
      <c r="D20" s="105" t="s">
        <v>6</v>
      </c>
      <c r="E20" s="47">
        <f>-E15*E23^2/((E22/E21)^2-1)/E18</f>
        <v>666.69332527118638</v>
      </c>
      <c r="F20" s="105" t="s">
        <v>224</v>
      </c>
      <c r="G20" s="106"/>
      <c r="H20" s="106"/>
      <c r="I20" s="106"/>
      <c r="J20" s="106"/>
      <c r="L20" s="96" t="s">
        <v>270</v>
      </c>
      <c r="N20" s="115">
        <f>(2*$L$24*N16)/(1.225*($E$4/100)^2)</f>
        <v>108.97974453327585</v>
      </c>
      <c r="O20" s="115">
        <f t="shared" ref="O20:P20" si="2">(2*$L$24*O16)/(1.225*($E$4/100)^2)</f>
        <v>0</v>
      </c>
      <c r="P20" s="115">
        <f t="shared" si="2"/>
        <v>0</v>
      </c>
    </row>
    <row r="21" spans="1:20" x14ac:dyDescent="0.15">
      <c r="A21" s="2"/>
      <c r="B21" s="6" t="s">
        <v>217</v>
      </c>
      <c r="C21" s="6"/>
      <c r="D21" s="107" t="s">
        <v>221</v>
      </c>
      <c r="E21" s="94">
        <v>2.5406</v>
      </c>
      <c r="F21" s="107" t="s">
        <v>195</v>
      </c>
      <c r="G21" s="106"/>
      <c r="H21" s="106"/>
      <c r="I21" s="106"/>
      <c r="J21" s="106"/>
      <c r="N21" s="115">
        <f>(($K$11-N19)/$K$11)*100</f>
        <v>30.068023453372696</v>
      </c>
      <c r="O21" s="115">
        <f t="shared" ref="O21:P21" si="3">(($K$11-O19)/$K$11)*100</f>
        <v>100</v>
      </c>
      <c r="P21" s="115">
        <f t="shared" si="3"/>
        <v>100</v>
      </c>
    </row>
    <row r="22" spans="1:20" x14ac:dyDescent="0.15">
      <c r="A22" s="2"/>
      <c r="B22" s="6" t="s">
        <v>218</v>
      </c>
      <c r="C22" s="6"/>
      <c r="D22" s="107" t="s">
        <v>222</v>
      </c>
      <c r="E22" s="94">
        <v>2.3411</v>
      </c>
      <c r="F22" s="107" t="s">
        <v>195</v>
      </c>
      <c r="G22" s="106"/>
      <c r="H22" s="106"/>
      <c r="I22" s="106"/>
      <c r="J22" s="106"/>
      <c r="K22" s="106"/>
      <c r="L22" s="106">
        <v>15</v>
      </c>
      <c r="M22" s="106"/>
      <c r="N22" s="115">
        <f>(($K$12-N20)/$K$12)*100</f>
        <v>12.995297776430496</v>
      </c>
      <c r="O22" s="115">
        <f t="shared" ref="O22:P22" si="4">(($K$12-O20)/$K$12)*100</f>
        <v>100</v>
      </c>
      <c r="P22" s="115">
        <f t="shared" si="4"/>
        <v>100</v>
      </c>
      <c r="S22" s="126"/>
    </row>
    <row r="23" spans="1:20" x14ac:dyDescent="0.15">
      <c r="A23" s="2"/>
      <c r="B23" s="6" t="s">
        <v>219</v>
      </c>
      <c r="C23" s="6"/>
      <c r="D23" s="107" t="s">
        <v>223</v>
      </c>
      <c r="E23" s="107">
        <v>16</v>
      </c>
      <c r="F23" s="107" t="s">
        <v>198</v>
      </c>
      <c r="G23" s="106"/>
      <c r="H23" s="106" t="s">
        <v>243</v>
      </c>
      <c r="I23" s="106">
        <f>SQRT((E6-E19)/E15*E18)</f>
        <v>14.718113252069108</v>
      </c>
      <c r="J23" s="106"/>
      <c r="K23" s="106">
        <v>562.80865994418082</v>
      </c>
      <c r="L23" s="106">
        <f>K8*L22^2*(1/0.85)</f>
        <v>88.411764705882362</v>
      </c>
      <c r="N23" s="106"/>
      <c r="S23" s="126"/>
    </row>
    <row r="24" spans="1:20" x14ac:dyDescent="0.15">
      <c r="A24" s="2"/>
      <c r="B24" s="106"/>
      <c r="C24" s="106"/>
      <c r="D24" s="106" t="s">
        <v>248</v>
      </c>
      <c r="E24" s="125">
        <v>1.4358</v>
      </c>
      <c r="F24" s="96">
        <f>((E7-E24)/E7)*100</f>
        <v>-0.38453471299727754</v>
      </c>
      <c r="G24" s="96"/>
      <c r="H24" s="106"/>
      <c r="I24" s="106"/>
      <c r="J24" s="106"/>
      <c r="K24" s="106"/>
      <c r="L24" s="124">
        <f>K23+L23</f>
        <v>651.22042465006314</v>
      </c>
      <c r="M24" s="96">
        <f>(((E6-L24))/E6)*100</f>
        <v>-5.2372514782244278E-14</v>
      </c>
      <c r="N24" s="106"/>
      <c r="S24" s="126"/>
    </row>
    <row r="25" spans="1:20" x14ac:dyDescent="0.15">
      <c r="A25" s="2"/>
      <c r="B25" s="106"/>
      <c r="C25" s="106"/>
      <c r="D25" s="106" t="s">
        <v>249</v>
      </c>
      <c r="E25" s="125">
        <v>3.1084000000000001</v>
      </c>
      <c r="F25" s="96">
        <f>((E8-E25)/E8)*100</f>
        <v>-0.15465910555483681</v>
      </c>
      <c r="G25" s="96">
        <f>(((E6-E20))/E6)*100</f>
        <v>-2.3759851557847012</v>
      </c>
      <c r="H25" s="106"/>
      <c r="I25" s="106"/>
      <c r="J25" s="106"/>
      <c r="K25" s="106"/>
      <c r="L25" s="106"/>
      <c r="M25" s="106"/>
      <c r="N25" s="106"/>
    </row>
    <row r="26" spans="1:20" x14ac:dyDescent="0.15">
      <c r="A26" s="2"/>
      <c r="B26" s="106"/>
      <c r="C26" s="106"/>
      <c r="D26" s="106"/>
      <c r="E26" s="106" t="s">
        <v>246</v>
      </c>
      <c r="F26" s="106">
        <f>E8/E7</f>
        <v>2.1698944277424319</v>
      </c>
      <c r="G26" s="96">
        <f>(((F26-F27))/F26)*100</f>
        <v>0.22899504201485252</v>
      </c>
      <c r="H26" s="106" t="s">
        <v>250</v>
      </c>
      <c r="I26" s="106"/>
      <c r="J26" s="106"/>
      <c r="K26" s="106"/>
      <c r="L26" s="106"/>
      <c r="M26" s="106"/>
      <c r="N26" s="106"/>
    </row>
    <row r="27" spans="1:20" x14ac:dyDescent="0.15">
      <c r="A27" s="2"/>
      <c r="B27" s="106" t="s">
        <v>255</v>
      </c>
      <c r="C27" s="102" t="s">
        <v>280</v>
      </c>
      <c r="D27" s="106"/>
      <c r="E27" s="106" t="s">
        <v>247</v>
      </c>
      <c r="F27" s="106">
        <f>E25/E24</f>
        <v>2.1649254770859452</v>
      </c>
      <c r="G27" s="101"/>
      <c r="H27" s="106">
        <f>E4/200*10</f>
        <v>2</v>
      </c>
      <c r="I27" s="106"/>
      <c r="J27" s="106"/>
      <c r="K27" s="106"/>
      <c r="L27" s="106"/>
      <c r="M27" s="106"/>
      <c r="N27" s="106"/>
      <c r="R27">
        <f>R28-6000</f>
        <v>32541</v>
      </c>
      <c r="S27">
        <f>S28-3000</f>
        <v>17173</v>
      </c>
    </row>
    <row r="28" spans="1:20" x14ac:dyDescent="0.15">
      <c r="A28" s="2"/>
      <c r="B28" s="106" t="s">
        <v>256</v>
      </c>
      <c r="C28" s="113" t="s">
        <v>271</v>
      </c>
      <c r="D28" s="106"/>
      <c r="E28" s="106"/>
      <c r="F28" s="106">
        <f>E24*F26</f>
        <v>3.1155344193525836</v>
      </c>
      <c r="G28" s="101"/>
      <c r="H28" s="100">
        <f>TAN(RADIANS(0.5))*(E4/2)*10</f>
        <v>1.745373558151758</v>
      </c>
      <c r="I28" s="136" t="s">
        <v>251</v>
      </c>
      <c r="J28" s="106">
        <f>40*SQRT(1/$D$1)*(E24/E7)</f>
        <v>40.153813885198915</v>
      </c>
      <c r="K28" s="106" t="s">
        <v>253</v>
      </c>
      <c r="L28" s="106"/>
      <c r="M28" s="106"/>
      <c r="N28" s="106"/>
      <c r="R28">
        <v>38541</v>
      </c>
      <c r="S28">
        <v>20173</v>
      </c>
    </row>
    <row r="29" spans="1:20" x14ac:dyDescent="0.15">
      <c r="A29" s="2"/>
      <c r="B29" s="106" t="s">
        <v>278</v>
      </c>
      <c r="C29" s="102" t="s">
        <v>281</v>
      </c>
      <c r="E29" s="106"/>
      <c r="F29" s="106">
        <f>E25/F26</f>
        <v>1.4325120891867507</v>
      </c>
      <c r="G29" s="106"/>
      <c r="I29" s="136"/>
      <c r="J29" s="123">
        <f>40*SQRT(1/$D$1)*(E25/E8)</f>
        <v>40.061863642221937</v>
      </c>
      <c r="K29" s="106" t="s">
        <v>252</v>
      </c>
      <c r="L29" s="106"/>
      <c r="M29" s="106"/>
      <c r="N29" s="106"/>
      <c r="R29">
        <f>R28+6000</f>
        <v>44541</v>
      </c>
      <c r="S29">
        <f>S28+3000</f>
        <v>23173</v>
      </c>
    </row>
    <row r="30" spans="1:20" x14ac:dyDescent="0.15">
      <c r="A30" s="2"/>
      <c r="B30" s="106" t="s">
        <v>263</v>
      </c>
      <c r="C30" s="113" t="s">
        <v>279</v>
      </c>
      <c r="D30" s="106"/>
      <c r="E30" s="106"/>
      <c r="F30" s="106"/>
      <c r="G30" s="106"/>
      <c r="H30" s="106"/>
      <c r="I30" s="106"/>
      <c r="J30" s="106"/>
      <c r="K30" s="106"/>
      <c r="L30" s="106"/>
      <c r="M30" s="106"/>
      <c r="N30" s="106"/>
      <c r="S30" s="120"/>
      <c r="T30" s="120"/>
    </row>
    <row r="31" spans="1:20" x14ac:dyDescent="0.15">
      <c r="A31" s="106"/>
      <c r="B31" s="106"/>
      <c r="C31" s="113" t="s">
        <v>277</v>
      </c>
      <c r="D31" s="108"/>
      <c r="E31" s="108"/>
      <c r="F31" s="108"/>
      <c r="S31" s="120"/>
      <c r="T31" s="120"/>
    </row>
    <row r="32" spans="1:20" x14ac:dyDescent="0.15">
      <c r="A32" s="106"/>
      <c r="B32" s="106"/>
      <c r="C32" s="114" t="s">
        <v>272</v>
      </c>
      <c r="S32" s="120"/>
      <c r="T32" s="120"/>
    </row>
    <row r="33" spans="1:2" x14ac:dyDescent="0.15">
      <c r="A33" s="106"/>
      <c r="B33" s="106"/>
    </row>
    <row r="34" spans="1:2" x14ac:dyDescent="0.15">
      <c r="A34" s="106"/>
      <c r="B34" s="106"/>
    </row>
    <row r="35" spans="1:2" x14ac:dyDescent="0.15">
      <c r="A35" s="106"/>
      <c r="B35" s="106"/>
    </row>
    <row r="36" spans="1:2" x14ac:dyDescent="0.15">
      <c r="A36" s="106"/>
      <c r="B36" s="106"/>
    </row>
    <row r="37" spans="1:2" x14ac:dyDescent="0.15">
      <c r="A37" s="106"/>
      <c r="B37" s="106"/>
    </row>
    <row r="38" spans="1:2" x14ac:dyDescent="0.15">
      <c r="A38" s="106"/>
      <c r="B38" s="106"/>
    </row>
    <row r="39" spans="1:2" x14ac:dyDescent="0.15">
      <c r="A39" s="106"/>
      <c r="B39" s="106"/>
    </row>
    <row r="40" spans="1:2" x14ac:dyDescent="0.15">
      <c r="A40" s="106"/>
      <c r="B40" s="106"/>
    </row>
    <row r="41" spans="1:2" x14ac:dyDescent="0.15">
      <c r="A41" s="106"/>
      <c r="B41" s="106"/>
    </row>
    <row r="59" spans="1:2" x14ac:dyDescent="0.15">
      <c r="A59" s="106"/>
      <c r="B59" s="106"/>
    </row>
    <row r="60" spans="1:2" x14ac:dyDescent="0.15">
      <c r="A60" s="106"/>
      <c r="B60" s="106"/>
    </row>
    <row r="61" spans="1:2" x14ac:dyDescent="0.15">
      <c r="A61" s="106"/>
      <c r="B61" s="106"/>
    </row>
    <row r="62" spans="1:2" x14ac:dyDescent="0.15">
      <c r="A62" s="106"/>
      <c r="B62" s="106"/>
    </row>
    <row r="63" spans="1:2" x14ac:dyDescent="0.15">
      <c r="A63" s="106"/>
      <c r="B63" s="106"/>
    </row>
    <row r="64" spans="1:2" x14ac:dyDescent="0.15">
      <c r="A64" s="106"/>
      <c r="B64" s="106"/>
    </row>
    <row r="65" spans="1:2" x14ac:dyDescent="0.15">
      <c r="A65" s="106"/>
      <c r="B65" s="106"/>
    </row>
    <row r="66" spans="1:2" x14ac:dyDescent="0.15">
      <c r="A66" s="106"/>
      <c r="B66" s="106"/>
    </row>
    <row r="67" spans="1:2" x14ac:dyDescent="0.15">
      <c r="A67" s="106"/>
      <c r="B67" s="106"/>
    </row>
    <row r="68" spans="1:2" x14ac:dyDescent="0.15">
      <c r="A68" s="106"/>
      <c r="B68" s="106"/>
    </row>
    <row r="69" spans="1:2" x14ac:dyDescent="0.15">
      <c r="A69" s="106"/>
      <c r="B69" s="106"/>
    </row>
    <row r="70" spans="1:2" x14ac:dyDescent="0.15">
      <c r="A70" s="106"/>
      <c r="B70" s="106"/>
    </row>
    <row r="71" spans="1:2" x14ac:dyDescent="0.15">
      <c r="A71" s="106"/>
      <c r="B71" s="106"/>
    </row>
    <row r="72" spans="1:2" x14ac:dyDescent="0.15">
      <c r="A72" s="106"/>
      <c r="B72" s="106"/>
    </row>
    <row r="73" spans="1:2" x14ac:dyDescent="0.15">
      <c r="A73" s="106"/>
      <c r="B73" s="106"/>
    </row>
    <row r="74" spans="1:2" x14ac:dyDescent="0.15">
      <c r="A74" s="106"/>
      <c r="B74" s="106"/>
    </row>
    <row r="75" spans="1:2" x14ac:dyDescent="0.15">
      <c r="A75" s="106"/>
      <c r="B75" s="106"/>
    </row>
    <row r="76" spans="1:2" x14ac:dyDescent="0.15">
      <c r="A76" s="106"/>
      <c r="B76" s="106"/>
    </row>
    <row r="77" spans="1:2" x14ac:dyDescent="0.15">
      <c r="A77" s="106"/>
      <c r="B77" s="106"/>
    </row>
    <row r="78" spans="1:2" x14ac:dyDescent="0.15">
      <c r="A78" s="106"/>
      <c r="B78" s="106"/>
    </row>
    <row r="79" spans="1:2" x14ac:dyDescent="0.15">
      <c r="A79" s="106"/>
      <c r="B79" s="106"/>
    </row>
    <row r="80" spans="1:2" x14ac:dyDescent="0.15">
      <c r="A80" s="106"/>
      <c r="B80" s="106"/>
    </row>
    <row r="81" spans="1:2" x14ac:dyDescent="0.15">
      <c r="A81" s="106"/>
      <c r="B81" s="106"/>
    </row>
    <row r="87" spans="1:2" x14ac:dyDescent="0.15">
      <c r="A87" s="106"/>
      <c r="B87" s="106"/>
    </row>
    <row r="88" spans="1:2" x14ac:dyDescent="0.15">
      <c r="A88" s="106"/>
      <c r="B88" s="106"/>
    </row>
    <row r="89" spans="1:2" x14ac:dyDescent="0.15">
      <c r="A89" s="106"/>
      <c r="B89" s="106"/>
    </row>
    <row r="90" spans="1:2" x14ac:dyDescent="0.15">
      <c r="A90" s="106"/>
      <c r="B90" s="106"/>
    </row>
    <row r="91" spans="1:2" x14ac:dyDescent="0.15">
      <c r="A91" s="106"/>
      <c r="B91" s="106"/>
    </row>
    <row r="92" spans="1:2" x14ac:dyDescent="0.15">
      <c r="A92" s="106"/>
      <c r="B92" s="106"/>
    </row>
    <row r="93" spans="1:2" x14ac:dyDescent="0.15">
      <c r="A93" s="106"/>
      <c r="B93" s="106"/>
    </row>
    <row r="94" spans="1:2" x14ac:dyDescent="0.15">
      <c r="A94" s="106"/>
      <c r="B94" s="106"/>
    </row>
    <row r="95" spans="1:2" x14ac:dyDescent="0.15">
      <c r="A95" s="106"/>
      <c r="B95" s="106"/>
    </row>
    <row r="96" spans="1:2" x14ac:dyDescent="0.15">
      <c r="A96" s="106"/>
      <c r="B96" s="106"/>
    </row>
    <row r="97" spans="1:2" x14ac:dyDescent="0.15">
      <c r="A97" s="106"/>
      <c r="B97" s="106"/>
    </row>
    <row r="98" spans="1:2" x14ac:dyDescent="0.15">
      <c r="A98" s="106"/>
      <c r="B98" s="106"/>
    </row>
    <row r="99" spans="1:2" x14ac:dyDescent="0.15">
      <c r="A99" s="106"/>
      <c r="B99" s="106"/>
    </row>
    <row r="100" spans="1:2" x14ac:dyDescent="0.15">
      <c r="A100" s="106"/>
      <c r="B100" s="106"/>
    </row>
    <row r="101" spans="1:2" x14ac:dyDescent="0.15">
      <c r="A101" s="106"/>
      <c r="B101" s="106"/>
    </row>
    <row r="102" spans="1:2" x14ac:dyDescent="0.15">
      <c r="A102" s="106"/>
      <c r="B102" s="106"/>
    </row>
    <row r="103" spans="1:2" x14ac:dyDescent="0.15">
      <c r="A103" s="106"/>
      <c r="B103" s="106"/>
    </row>
    <row r="104" spans="1:2" x14ac:dyDescent="0.15">
      <c r="A104" s="106"/>
      <c r="B104" s="106"/>
    </row>
    <row r="105" spans="1:2" x14ac:dyDescent="0.15">
      <c r="A105" s="106"/>
      <c r="B105" s="106"/>
    </row>
    <row r="106" spans="1:2" x14ac:dyDescent="0.15">
      <c r="A106" s="106"/>
      <c r="B106" s="106"/>
    </row>
    <row r="107" spans="1:2" x14ac:dyDescent="0.15">
      <c r="A107" s="106"/>
      <c r="B107" s="106"/>
    </row>
    <row r="108" spans="1:2" x14ac:dyDescent="0.15">
      <c r="A108" s="106"/>
      <c r="B108" s="106"/>
    </row>
    <row r="109" spans="1:2" x14ac:dyDescent="0.15">
      <c r="A109" s="106"/>
      <c r="B109" s="106"/>
    </row>
  </sheetData>
  <mergeCells count="3">
    <mergeCell ref="L12:P12"/>
    <mergeCell ref="B20:C20"/>
    <mergeCell ref="I28:I29"/>
  </mergeCells>
  <phoneticPr fontId="1" type="noConversion"/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16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이름이 지정된 범위</vt:lpstr>
      </vt:variant>
      <vt:variant>
        <vt:i4>3</vt:i4>
      </vt:variant>
    </vt:vector>
  </HeadingPairs>
  <TitlesOfParts>
    <vt:vector size="8" baseType="lpstr">
      <vt:lpstr>도로교시방서</vt:lpstr>
      <vt:lpstr>일본 도로교 내풍설계편람</vt:lpstr>
      <vt:lpstr>혼슈-시코쿠 기준</vt:lpstr>
      <vt:lpstr>대한건축학회</vt:lpstr>
      <vt:lpstr>모형 Setup! (2)</vt:lpstr>
      <vt:lpstr>대한건축학회!Print_Area</vt:lpstr>
      <vt:lpstr>'모형 Setup! (2)'!Print_Area</vt:lpstr>
      <vt:lpstr>'혼슈-시코쿠 기준'!Print_Area</vt:lpstr>
    </vt:vector>
  </TitlesOfParts>
  <Company>hdec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seungwoo lee</dc:creator>
  <cp:lastModifiedBy>USER</cp:lastModifiedBy>
  <cp:lastPrinted>2002-04-01T04:39:28Z</cp:lastPrinted>
  <dcterms:created xsi:type="dcterms:W3CDTF">2001-04-13T01:40:00Z</dcterms:created>
  <dcterms:modified xsi:type="dcterms:W3CDTF">2025-09-22T09:51:11Z</dcterms:modified>
</cp:coreProperties>
</file>